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Debt Register" sheetId="3" state="visible" r:id="rId3"/>
    <sheet name="Budget &amp; Capacity" sheetId="4" state="visible" r:id="rId4"/>
    <sheet name="Payoff Engine" sheetId="5" state="visible" r:id="rId5"/>
    <sheet name="Payoff Schedule" sheetId="6" state="visible" r:id="rId6"/>
    <sheet name="Actual Payments" sheetId="7" state="visible" r:id="rId7"/>
    <sheet name="Dashboard" sheetId="8" state="visible" r:id="rId8"/>
    <sheet name="Calendar" sheetId="9" state="visible" r:id="rId9"/>
    <sheet name="Audit &amp; Settings" sheetId="10" state="visible" r:id="rId10"/>
    <sheet name="Windfalls" sheetId="11" state="visible" r:id="rId11"/>
    <sheet name="Method Comparis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($* #,##0.00_);_($* (#,##0.00);_($* &quot;-&quot;??_);_(@_)"/>
    <numFmt numFmtId="165" formatCode="_($* #,##0.00_)"/>
    <numFmt numFmtId="166" formatCode="_($* #,##0.00_);[Red]_($* (#,##0.00);_($* &quot;-&quot;??_);_(@_)"/>
    <numFmt numFmtId="167" formatCode="YYYY-MM-DD"/>
    <numFmt numFmtId="168" formatCode="_($* #,##0_)"/>
    <numFmt numFmtId="169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24"/>
    </font>
    <font>
      <name val="Calibri"/>
      <i val="1"/>
      <color rgb="002E75B6"/>
      <sz val="14"/>
    </font>
    <font>
      <name val="Calibri"/>
      <b val="1"/>
      <color rgb="001F4E79"/>
      <sz val="12"/>
    </font>
    <font>
      <name val="Calibri"/>
      <b val="1"/>
      <sz val="11"/>
    </font>
    <font>
      <name val="Calibri"/>
      <color rgb="000563C1"/>
      <sz val="11"/>
      <u val="single"/>
    </font>
    <font>
      <color rgb="00B4B4B4"/>
    </font>
    <font>
      <name val="Calibri"/>
      <i val="1"/>
      <color rgb="00C00000"/>
      <sz val="10"/>
    </font>
    <font>
      <name val="Calibri"/>
      <sz val="9"/>
    </font>
    <font>
      <name val="Calibri"/>
      <b val="1"/>
      <color rgb="00FFFFFF"/>
      <sz val="11"/>
    </font>
    <font>
      <name val="Calibri"/>
      <i val="1"/>
      <sz val="11"/>
    </font>
    <font>
      <name val="Calibri"/>
      <i val="1"/>
      <color rgb="002E75B6"/>
      <sz val="10"/>
    </font>
    <font>
      <name val="Calibri"/>
      <b val="1"/>
      <color rgb="001F4E79"/>
      <sz val="20"/>
    </font>
    <font>
      <name val="Calibri"/>
      <b val="1"/>
      <color rgb="002E75B6"/>
      <sz val="16"/>
    </font>
    <font>
      <name val="Calibri"/>
      <b val="1"/>
      <i val="1"/>
      <sz val="11"/>
    </font>
  </fonts>
  <fills count="8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E699"/>
        <bgColor rgb="00FFE699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 vertical="center" wrapText="1"/>
    </xf>
    <xf numFmtId="0" fontId="10" fillId="0" borderId="0" pivotButton="0" quotePrefix="0" xfId="0"/>
    <xf numFmtId="164" fontId="0" fillId="2" borderId="1" applyAlignment="1" pivotButton="0" quotePrefix="0" xfId="0">
      <alignment horizontal="center" vertical="center" wrapText="1"/>
    </xf>
    <xf numFmtId="10" fontId="0" fillId="2" borderId="1" applyAlignment="1" pivotButton="0" quotePrefix="0" xfId="0">
      <alignment horizontal="center" vertical="center" wrapText="1"/>
    </xf>
    <xf numFmtId="165" fontId="0" fillId="2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49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11" fillId="0" borderId="0" pivotButton="0" quotePrefix="0" xfId="0"/>
    <xf numFmtId="167" fontId="0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8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10" fontId="13" fillId="0" borderId="1" applyAlignment="1" pivotButton="0" quotePrefix="0" xfId="0">
      <alignment horizontal="center" vertical="center" wrapText="1"/>
    </xf>
    <xf numFmtId="168" fontId="13" fillId="0" borderId="1" applyAlignment="1" pivotButton="0" quotePrefix="0" xfId="0">
      <alignment horizontal="center" vertical="center" wrapText="1"/>
    </xf>
    <xf numFmtId="168" fontId="0" fillId="0" borderId="1" pivotButton="0" quotePrefix="0" xfId="0"/>
    <xf numFmtId="169" fontId="0" fillId="0" borderId="1" pivotButton="0" quotePrefix="0" xfId="0"/>
    <xf numFmtId="169" fontId="0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/>
    </xf>
    <xf numFmtId="0" fontId="8" fillId="6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0" borderId="1" pivotButton="0" quotePrefix="0" xfId="0"/>
    <xf numFmtId="0" fontId="0" fillId="7" borderId="1" pivotButton="0" quotePrefix="0" xfId="0"/>
    <xf numFmtId="0" fontId="1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Debt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'Dashboard'!C13</f>
            </strRef>
          </tx>
          <spPr>
            <a:ln>
              <a:prstDash val="solid"/>
            </a:ln>
          </spPr>
          <cat>
            <numRef>
              <f>'Dashboard'!$B$14:$B$18</f>
            </numRef>
          </cat>
          <val>
            <numRef>
              <f>'Dashboard'!$C$14:$C$18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System</author>
  </authors>
  <commentList>
    <comment ref="F13" authorId="0" shapeId="0">
      <text>
        <t>This is your surplus after minimum payments. Consider putting this toward extra debt payments.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10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Assumptions" displayName="tblAssumptions" ref="H6:I13" headerRowCount="1">
  <autoFilter ref="H6:I13"/>
  <tableColumns count="2">
    <tableColumn id="8" name="Parameter"/>
    <tableColumn id="9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ebts" displayName="tblDebts" ref="B5:P55" headerRowCount="1">
  <autoFilter ref="B5:P55"/>
  <tableColumns count="15">
    <tableColumn id="2" name="DebtID"/>
    <tableColumn id="3" name="DebtName"/>
    <tableColumn id="4" name="Lender"/>
    <tableColumn id="5" name="DebtType"/>
    <tableColumn id="6" name="StartBalance"/>
    <tableColumn id="7" name="CurrentBalance"/>
    <tableColumn id="8" name="AnnualInterestRate"/>
    <tableColumn id="9" name="InterestMethod"/>
    <tableColumn id="10" name="MinimumPayment"/>
    <tableColumn id="11" name="DueDayOfMonth"/>
    <tableColumn id="12" name="PaymentPriorityOverride"/>
    <tableColumn id="13" name="IsIncluded"/>
    <tableColumn id="14" name="Status"/>
    <tableColumn id="15" name="Notes"/>
    <tableColumn id="16" name="ReadyForPla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PaymentsActual" displayName="tblPaymentsActual" ref="B5:H105" headerRowCount="1">
  <autoFilter ref="B5:H105"/>
  <tableColumns count="7">
    <tableColumn id="2" name="Date"/>
    <tableColumn id="3" name="DebtID"/>
    <tableColumn id="4" name="DebtName"/>
    <tableColumn id="5" name="AmountPaid"/>
    <tableColumn id="6" name="FeesPaid"/>
    <tableColumn id="7" name="IsExtra"/>
    <tableColumn id="8" name="Notes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4" name="tblWindfalls" displayName="tblWindfalls" ref="B5:F55" headerRowCount="1">
  <autoFilter ref="B5:F55"/>
  <tableColumns count="5">
    <tableColumn id="2" name="Date"/>
    <tableColumn id="3" name="Amount"/>
    <tableColumn id="4" name="AllocationRule"/>
    <tableColumn id="5" name="TargetDebtID"/>
    <tableColumn id="6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5" customWidth="1" min="3" max="3"/>
    <col width="40" customWidth="1" min="4" max="4"/>
  </cols>
  <sheetData>
    <row r="2">
      <c r="B2" s="1" t="inlineStr">
        <is>
          <t>DEBT PAYOFF COMMAND CENTRE</t>
        </is>
      </c>
    </row>
    <row r="3">
      <c r="B3" s="2" t="inlineStr">
        <is>
          <t>Your comprehensive debt elimination system</t>
        </is>
      </c>
    </row>
    <row r="5">
      <c r="B5" s="3" t="inlineStr">
        <is>
          <t>QUICK START CHECKLIST</t>
        </is>
      </c>
    </row>
    <row r="7">
      <c r="B7" s="4" t="inlineStr">
        <is>
          <t>1. Enter your debts</t>
        </is>
      </c>
      <c r="C7" t="inlineStr">
        <is>
          <t>Go to 'Debt Register' tab and enter all your debts</t>
        </is>
      </c>
      <c r="D7" s="5" t="inlineStr">
        <is>
          <t>→ Debt Register</t>
        </is>
      </c>
    </row>
    <row r="8">
      <c r="B8" s="4" t="inlineStr">
        <is>
          <t>2. Set your method</t>
        </is>
      </c>
      <c r="C8" t="inlineStr">
        <is>
          <t>Choose Snowball, Avalanche, or Custom in 'Setup'</t>
        </is>
      </c>
      <c r="D8" s="5" t="inlineStr">
        <is>
          <t>→ Setup</t>
        </is>
      </c>
    </row>
    <row r="9">
      <c r="B9" s="4" t="inlineStr">
        <is>
          <t>3. Set extra payment</t>
        </is>
      </c>
      <c r="C9" t="inlineStr">
        <is>
          <t>Enter any extra monthly payment capacity in 'Setup'</t>
        </is>
      </c>
      <c r="D9" s="5" t="inlineStr">
        <is>
          <t>→ Setup</t>
        </is>
      </c>
    </row>
    <row r="10">
      <c r="B10" s="4" t="inlineStr">
        <is>
          <t>4. Review your plan</t>
        </is>
      </c>
      <c r="C10" t="inlineStr">
        <is>
          <t>See your personalized payoff schedule</t>
        </is>
      </c>
      <c r="D10" s="5" t="inlineStr">
        <is>
          <t>→ Payoff Schedule</t>
        </is>
      </c>
    </row>
    <row r="11">
      <c r="B11" s="4" t="inlineStr">
        <is>
          <t>5. Track payments</t>
        </is>
      </c>
      <c r="C11" t="inlineStr">
        <is>
          <t>Log actual payments as you make them</t>
        </is>
      </c>
      <c r="D11" s="5" t="inlineStr">
        <is>
          <t>→ Actual Payments</t>
        </is>
      </c>
    </row>
    <row r="12">
      <c r="B12" s="4" t="inlineStr">
        <is>
          <t>6. Monitor progress</t>
        </is>
      </c>
      <c r="C12" t="inlineStr">
        <is>
          <t>View your dashboard for at-a-glance status</t>
        </is>
      </c>
      <c r="D12" s="5" t="inlineStr">
        <is>
          <t>→ Dashboard</t>
        </is>
      </c>
    </row>
    <row r="14">
      <c r="B14" s="6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16">
      <c r="B16" s="3" t="inlineStr">
        <is>
          <t>PAYOFF METHODS EXPLAINED</t>
        </is>
      </c>
    </row>
    <row r="18">
      <c r="B18" s="4" t="inlineStr">
        <is>
          <t>SNOWBALL</t>
        </is>
      </c>
      <c r="C18" t="inlineStr">
        <is>
          <t>Pay off smallest balances first. Provides quick wins for motivation.</t>
        </is>
      </c>
    </row>
    <row r="19">
      <c r="B19" s="4" t="inlineStr">
        <is>
          <t>AVALANCHE</t>
        </is>
      </c>
      <c r="C19" t="inlineStr">
        <is>
          <t>Pay off highest interest rates first. Minimizes total interest paid.</t>
        </is>
      </c>
    </row>
    <row r="20">
      <c r="B20" s="4" t="inlineStr">
        <is>
          <t>CUSTOM</t>
        </is>
      </c>
      <c r="C20" t="inlineStr">
        <is>
          <t>You set the priority order. Use PaymentPriorityOverride in Debt Register.</t>
        </is>
      </c>
    </row>
    <row r="23">
      <c r="B23" s="7" t="inlineStr">
        <is>
          <t>⚠️ DISCLAIMER: This workbook is for informational purposes only. It does not constitute financial advice. Please consult a qualified financial advisor for personalized guidance.</t>
        </is>
      </c>
    </row>
    <row r="25">
      <c r="B25" s="8" t="inlineStr">
        <is>
          <t>Version 1.0 | Created: 2025-12-28</t>
        </is>
      </c>
    </row>
  </sheetData>
  <mergeCells count="7">
    <mergeCell ref="C20:D20"/>
    <mergeCell ref="B3:D3"/>
    <mergeCell ref="B14:D14"/>
    <mergeCell ref="B23:D23"/>
    <mergeCell ref="C19:D19"/>
    <mergeCell ref="C18:D1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5" customWidth="1" min="4" max="4"/>
    <col width="35" customWidth="1" min="5" max="5"/>
    <col width="25" customWidth="1" min="6" max="6"/>
    <col width="5" customWidth="1" min="7" max="7"/>
  </cols>
  <sheetData>
    <row r="2">
      <c r="B2" s="9" t="inlineStr">
        <is>
          <t>SETUP &amp; CONFIGURATION</t>
        </is>
      </c>
    </row>
    <row r="4">
      <c r="B4" s="3" t="inlineStr">
        <is>
          <t>PLAN SETTINGS</t>
        </is>
      </c>
      <c r="H4" s="3" t="inlineStr">
        <is>
          <t>ASSUMPTIONS TABLE</t>
        </is>
      </c>
    </row>
    <row r="6">
      <c r="B6" s="4" t="inlineStr">
        <is>
          <t>Plan Start Month</t>
        </is>
      </c>
      <c r="C6" s="10" t="inlineStr">
        <is>
          <t>2025-01</t>
        </is>
      </c>
      <c r="D6" s="8" t="inlineStr">
        <is>
          <t>Format: YYYY-MM</t>
        </is>
      </c>
      <c r="H6" s="11" t="inlineStr">
        <is>
          <t>Parameter</t>
        </is>
      </c>
      <c r="I6" s="11" t="inlineStr">
        <is>
          <t>Value</t>
        </is>
      </c>
    </row>
    <row r="7">
      <c r="B7" s="4" t="inlineStr">
        <is>
          <t>Payoff Method</t>
        </is>
      </c>
      <c r="C7" s="10" t="inlineStr">
        <is>
          <t>Avalanche</t>
        </is>
      </c>
      <c r="D7" s="8" t="inlineStr">
        <is>
          <t>Snowball, Avalanche, or Custom</t>
        </is>
      </c>
      <c r="H7" s="12" t="inlineStr">
        <is>
          <t>PlanStartMonth</t>
        </is>
      </c>
      <c r="I7" s="13">
        <f>C6</f>
        <v/>
      </c>
    </row>
    <row r="8">
      <c r="B8" s="4" t="inlineStr">
        <is>
          <t>Extra Payment Per Month</t>
        </is>
      </c>
      <c r="C8" s="10" t="n">
        <v>0</v>
      </c>
      <c r="D8" s="8" t="inlineStr">
        <is>
          <t>Additional amount above minimums</t>
        </is>
      </c>
      <c r="H8" s="12" t="inlineStr">
        <is>
          <t>Method</t>
        </is>
      </c>
      <c r="I8" s="13">
        <f>C7</f>
        <v/>
      </c>
    </row>
    <row r="9">
      <c r="B9" s="4" t="inlineStr">
        <is>
          <t>Max Months to Project</t>
        </is>
      </c>
      <c r="C9" s="10" t="n">
        <v>240</v>
      </c>
      <c r="D9" s="8" t="inlineStr">
        <is>
          <t>Maximum projection horizon</t>
        </is>
      </c>
      <c r="H9" s="12" t="inlineStr">
        <is>
          <t>ExtraPaymentPerMonth</t>
        </is>
      </c>
      <c r="I9" s="13">
        <f>C8</f>
        <v/>
      </c>
    </row>
    <row r="10">
      <c r="B10" s="4" t="inlineStr">
        <is>
          <t>Currency Symbol</t>
        </is>
      </c>
      <c r="C10" s="10" t="inlineStr">
        <is>
          <t>$</t>
        </is>
      </c>
      <c r="D10" s="8" t="inlineStr">
        <is>
          <t>Display currency</t>
        </is>
      </c>
      <c r="H10" s="12" t="inlineStr">
        <is>
          <t>MaxMonthsToProject</t>
        </is>
      </c>
      <c r="I10" s="13">
        <f>C9</f>
        <v/>
      </c>
    </row>
    <row r="11">
      <c r="H11" s="12" t="inlineStr">
        <is>
          <t>CurrencySymbol</t>
        </is>
      </c>
      <c r="I11" s="13">
        <f>C10</f>
        <v/>
      </c>
    </row>
    <row r="12">
      <c r="H12" s="12" t="inlineStr">
        <is>
          <t>InterestMethod</t>
        </is>
      </c>
      <c r="I12" s="13">
        <f>C14</f>
        <v/>
      </c>
    </row>
    <row r="13">
      <c r="B13" s="3" t="inlineStr">
        <is>
          <t>INTEREST MODELLING</t>
        </is>
      </c>
      <c r="H13" s="12" t="inlineStr">
        <is>
          <t>IncludeFees</t>
        </is>
      </c>
      <c r="I13" s="13">
        <f>C15</f>
        <v/>
      </c>
    </row>
    <row r="15">
      <c r="B15" s="4" t="inlineStr">
        <is>
          <t>Default Interest Method</t>
        </is>
      </c>
      <c r="C15" s="10" t="inlineStr">
        <is>
          <t>Monthly</t>
        </is>
      </c>
    </row>
    <row r="16">
      <c r="B16" s="4" t="inlineStr">
        <is>
          <t>Include Fees in Calculations</t>
        </is>
      </c>
      <c r="C16" s="10" t="inlineStr">
        <is>
          <t>No</t>
        </is>
      </c>
    </row>
    <row r="19">
      <c r="B19" s="3" t="inlineStr">
        <is>
          <t>PLAN SUMMARY (Auto-Calculated)</t>
        </is>
      </c>
    </row>
    <row r="21">
      <c r="B21" s="4" t="inlineStr">
        <is>
          <t>Total Starting Debt</t>
        </is>
      </c>
      <c r="C21" s="14">
        <f>SUMIF(tblDebts[IsIncluded],"Yes",tblDebts[StartBalance])</f>
        <v/>
      </c>
    </row>
    <row r="22">
      <c r="B22" s="4" t="inlineStr">
        <is>
          <t>Total Current Debt</t>
        </is>
      </c>
      <c r="C22" s="14">
        <f>SUMIF(tblDebts[IsIncluded],"Yes",tblDebts[CurrentBalance])</f>
        <v/>
      </c>
    </row>
    <row r="23">
      <c r="B23" s="4" t="inlineStr">
        <is>
          <t>Total Minimum Payments</t>
        </is>
      </c>
      <c r="C23" s="14">
        <f>SUMIF(tblDebts[IsIncluded],"Yes",tblDebts[MinimumPayment])</f>
        <v/>
      </c>
    </row>
    <row r="24">
      <c r="B24" s="4" t="inlineStr">
        <is>
          <t>Planned Extra Per Month</t>
        </is>
      </c>
      <c r="C24" s="14">
        <f>C8</f>
        <v/>
      </c>
    </row>
    <row r="25">
      <c r="B25" s="4" t="inlineStr">
        <is>
          <t>Total Monthly Payment</t>
        </is>
      </c>
      <c r="C25" s="14">
        <f>SUMIF(tblDebts[IsIncluded],"Yes",tblDebts[MinimumPayment])+C8</f>
        <v/>
      </c>
    </row>
    <row r="26">
      <c r="B26" s="4" t="inlineStr">
        <is>
          <t>Number of Active Debts</t>
        </is>
      </c>
      <c r="C26" s="15">
        <f>COUNTIFS(tblDebts[IsIncluded],"Yes",tblDebts[Status],"Open")</f>
        <v/>
      </c>
    </row>
  </sheetData>
  <mergeCells count="6">
    <mergeCell ref="B2:F2"/>
    <mergeCell ref="D9:F9"/>
    <mergeCell ref="D7:F7"/>
    <mergeCell ref="D8:F8"/>
    <mergeCell ref="D6:F6"/>
    <mergeCell ref="D10:F10"/>
  </mergeCells>
  <dataValidations count="3">
    <dataValidation sqref="C7" showDropDown="0" showInputMessage="0" showErrorMessage="0" allowBlank="0" errorTitle="Invalid Method" error="Please select Snowball, Avalanche, or Custom" type="list">
      <formula1>"Snowball,Avalanche,Custom"</formula1>
    </dataValidation>
    <dataValidation sqref="C15" showDropDown="0" showInputMessage="0" showErrorMessage="0" allowBlank="0" type="list">
      <formula1>"Monthly,Daily"</formula1>
    </dataValidation>
    <dataValidation sqref="C16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5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0" customWidth="1" min="3" max="3"/>
    <col width="18" customWidth="1" min="4" max="4"/>
    <col width="14" customWidth="1" min="5" max="5"/>
    <col width="15" customWidth="1" min="6" max="6"/>
    <col width="16" customWidth="1" min="7" max="7"/>
    <col width="18" customWidth="1" min="8" max="8"/>
    <col width="15" customWidth="1" min="9" max="9"/>
    <col width="16" customWidth="1" min="10" max="10"/>
    <col width="14" customWidth="1" min="11" max="11"/>
    <col width="22" customWidth="1" min="12" max="12"/>
    <col width="12" customWidth="1" min="13" max="13"/>
    <col width="12" customWidth="1" min="14" max="14"/>
    <col width="25" customWidth="1" min="15" max="15"/>
    <col width="14" customWidth="1" min="16" max="16"/>
  </cols>
  <sheetData>
    <row r="2">
      <c r="B2" s="9" t="inlineStr">
        <is>
          <t>DEBT REGISTER</t>
        </is>
      </c>
    </row>
    <row r="3">
      <c r="B3" s="16" t="inlineStr">
        <is>
          <t>Enter all your debts below. Green input cells are required, grey cells are calculated.</t>
        </is>
      </c>
    </row>
    <row r="5">
      <c r="B5" s="11" t="inlineStr">
        <is>
          <t>DebtID</t>
        </is>
      </c>
      <c r="C5" s="11" t="inlineStr">
        <is>
          <t>DebtName</t>
        </is>
      </c>
      <c r="D5" s="11" t="inlineStr">
        <is>
          <t>Lender</t>
        </is>
      </c>
      <c r="E5" s="11" t="inlineStr">
        <is>
          <t>DebtType</t>
        </is>
      </c>
      <c r="F5" s="11" t="inlineStr">
        <is>
          <t>StartBalance</t>
        </is>
      </c>
      <c r="G5" s="11" t="inlineStr">
        <is>
          <t>CurrentBalance</t>
        </is>
      </c>
      <c r="H5" s="11" t="inlineStr">
        <is>
          <t>AnnualInterestRate</t>
        </is>
      </c>
      <c r="I5" s="11" t="inlineStr">
        <is>
          <t>InterestMethod</t>
        </is>
      </c>
      <c r="J5" s="11" t="inlineStr">
        <is>
          <t>MinimumPayment</t>
        </is>
      </c>
      <c r="K5" s="11" t="inlineStr">
        <is>
          <t>DueDayOfMonth</t>
        </is>
      </c>
      <c r="L5" s="11" t="inlineStr">
        <is>
          <t>PaymentPriorityOverride</t>
        </is>
      </c>
      <c r="M5" s="11" t="inlineStr">
        <is>
          <t>IsIncluded</t>
        </is>
      </c>
      <c r="N5" s="11" t="inlineStr">
        <is>
          <t>Status</t>
        </is>
      </c>
      <c r="O5" s="11" t="inlineStr">
        <is>
          <t>Notes</t>
        </is>
      </c>
      <c r="P5" s="11" t="inlineStr">
        <is>
          <t>ReadyForPlan</t>
        </is>
      </c>
    </row>
    <row r="6">
      <c r="B6" s="12" t="n">
        <v>1</v>
      </c>
      <c r="C6" s="10" t="inlineStr">
        <is>
          <t>Credit Card A</t>
        </is>
      </c>
      <c r="D6" s="10" t="inlineStr">
        <is>
          <t>Bank ABC</t>
        </is>
      </c>
      <c r="E6" s="10" t="inlineStr">
        <is>
          <t>Credit Card</t>
        </is>
      </c>
      <c r="F6" s="17" t="n">
        <v>5000</v>
      </c>
      <c r="G6" s="17" t="n">
        <v>4800</v>
      </c>
      <c r="H6" s="18" t="n">
        <v>0.1999</v>
      </c>
      <c r="I6" s="12" t="inlineStr">
        <is>
          <t>Monthly</t>
        </is>
      </c>
      <c r="J6" s="17" t="n">
        <v>150</v>
      </c>
      <c r="K6" s="10" t="n">
        <v>15</v>
      </c>
      <c r="L6" s="10" t="inlineStr"/>
      <c r="M6" s="12" t="inlineStr">
        <is>
          <t>Yes</t>
        </is>
      </c>
      <c r="N6" s="12" t="inlineStr">
        <is>
          <t>Open</t>
        </is>
      </c>
      <c r="O6" s="10" t="inlineStr"/>
      <c r="P6" s="13">
        <f>IF(AND(C6&lt;&gt;"",F6&gt;0,G6&lt;&gt;"",H6&gt;0,I6&lt;&gt;"",J6&gt;0,K6&gt;0,M6&lt;&gt;"",N6&lt;&gt;""),"Ready","Missing Data")</f>
        <v/>
      </c>
    </row>
    <row r="7">
      <c r="B7" s="12" t="n">
        <v>2</v>
      </c>
      <c r="C7" s="10" t="inlineStr">
        <is>
          <t>Car Loan</t>
        </is>
      </c>
      <c r="D7" s="10" t="inlineStr">
        <is>
          <t>Auto Finance</t>
        </is>
      </c>
      <c r="E7" s="10" t="inlineStr">
        <is>
          <t>Loan</t>
        </is>
      </c>
      <c r="F7" s="17" t="n">
        <v>15000</v>
      </c>
      <c r="G7" s="17" t="n">
        <v>12500</v>
      </c>
      <c r="H7" s="18" t="n">
        <v>0.0699</v>
      </c>
      <c r="I7" s="12" t="inlineStr">
        <is>
          <t>Monthly</t>
        </is>
      </c>
      <c r="J7" s="17" t="n">
        <v>350</v>
      </c>
      <c r="K7" s="10" t="n">
        <v>1</v>
      </c>
      <c r="L7" s="10" t="inlineStr"/>
      <c r="M7" s="12" t="inlineStr">
        <is>
          <t>Yes</t>
        </is>
      </c>
      <c r="N7" s="12" t="inlineStr">
        <is>
          <t>Open</t>
        </is>
      </c>
      <c r="O7" s="10" t="inlineStr"/>
      <c r="P7" s="13">
        <f>IF(AND(C7&lt;&gt;"",F7&gt;0,G7&lt;&gt;"",H7&gt;0,I7&lt;&gt;"",J7&gt;0,K7&gt;0,M7&lt;&gt;"",N7&lt;&gt;""),"Ready","Missing Data")</f>
        <v/>
      </c>
    </row>
    <row r="8">
      <c r="B8" s="12" t="n">
        <v>3</v>
      </c>
      <c r="C8" s="10" t="inlineStr">
        <is>
          <t>Student Loan</t>
        </is>
      </c>
      <c r="D8" s="10" t="inlineStr">
        <is>
          <t>Fed Loans</t>
        </is>
      </c>
      <c r="E8" s="10" t="inlineStr">
        <is>
          <t>Loan</t>
        </is>
      </c>
      <c r="F8" s="17" t="n">
        <v>25000</v>
      </c>
      <c r="G8" s="17" t="n">
        <v>22000</v>
      </c>
      <c r="H8" s="18" t="n">
        <v>0.0499</v>
      </c>
      <c r="I8" s="12" t="inlineStr">
        <is>
          <t>Monthly</t>
        </is>
      </c>
      <c r="J8" s="17" t="n">
        <v>250</v>
      </c>
      <c r="K8" s="10" t="n">
        <v>20</v>
      </c>
      <c r="L8" s="10" t="inlineStr"/>
      <c r="M8" s="12" t="inlineStr">
        <is>
          <t>Yes</t>
        </is>
      </c>
      <c r="N8" s="12" t="inlineStr">
        <is>
          <t>Open</t>
        </is>
      </c>
      <c r="O8" s="10" t="inlineStr"/>
      <c r="P8" s="13">
        <f>IF(AND(C8&lt;&gt;"",F8&gt;0,G8&lt;&gt;"",H8&gt;0,I8&lt;&gt;"",J8&gt;0,K8&gt;0,M8&lt;&gt;"",N8&lt;&gt;""),"Ready","Missing Data")</f>
        <v/>
      </c>
    </row>
    <row r="9">
      <c r="B9" s="12" t="n">
        <v>4</v>
      </c>
      <c r="C9" s="10" t="inlineStr">
        <is>
          <t>Credit Card B</t>
        </is>
      </c>
      <c r="D9" s="10" t="inlineStr">
        <is>
          <t>Bank XYZ</t>
        </is>
      </c>
      <c r="E9" s="10" t="inlineStr">
        <is>
          <t>Credit Card</t>
        </is>
      </c>
      <c r="F9" s="17" t="n">
        <v>3000</v>
      </c>
      <c r="G9" s="17" t="n">
        <v>2800</v>
      </c>
      <c r="H9" s="18" t="n">
        <v>0.2499</v>
      </c>
      <c r="I9" s="12" t="inlineStr">
        <is>
          <t>Monthly</t>
        </is>
      </c>
      <c r="J9" s="17" t="n">
        <v>85</v>
      </c>
      <c r="K9" s="10" t="n">
        <v>10</v>
      </c>
      <c r="L9" s="10" t="inlineStr"/>
      <c r="M9" s="12" t="inlineStr">
        <is>
          <t>Yes</t>
        </is>
      </c>
      <c r="N9" s="12" t="inlineStr">
        <is>
          <t>Open</t>
        </is>
      </c>
      <c r="O9" s="10" t="inlineStr"/>
      <c r="P9" s="13">
        <f>IF(AND(C9&lt;&gt;"",F9&gt;0,G9&lt;&gt;"",H9&gt;0,I9&lt;&gt;"",J9&gt;0,K9&gt;0,M9&lt;&gt;"",N9&lt;&gt;""),"Ready","Missing Data")</f>
        <v/>
      </c>
    </row>
    <row r="10">
      <c r="B10" s="12" t="n">
        <v>5</v>
      </c>
      <c r="C10" s="10" t="inlineStr">
        <is>
          <t>Personal Loan</t>
        </is>
      </c>
      <c r="D10" s="10" t="inlineStr">
        <is>
          <t>Credit Union</t>
        </is>
      </c>
      <c r="E10" s="10" t="inlineStr">
        <is>
          <t>Loan</t>
        </is>
      </c>
      <c r="F10" s="17" t="n">
        <v>8000</v>
      </c>
      <c r="G10" s="17" t="n">
        <v>6500</v>
      </c>
      <c r="H10" s="18" t="n">
        <v>0.08989999999999999</v>
      </c>
      <c r="I10" s="12" t="inlineStr">
        <is>
          <t>Monthly</t>
        </is>
      </c>
      <c r="J10" s="17" t="n">
        <v>200</v>
      </c>
      <c r="K10" s="10" t="n">
        <v>5</v>
      </c>
      <c r="L10" s="10" t="inlineStr"/>
      <c r="M10" s="12" t="inlineStr">
        <is>
          <t>Yes</t>
        </is>
      </c>
      <c r="N10" s="12" t="inlineStr">
        <is>
          <t>Open</t>
        </is>
      </c>
      <c r="O10" s="10" t="inlineStr"/>
      <c r="P10" s="13">
        <f>IF(AND(C10&lt;&gt;"",F10&gt;0,G10&lt;&gt;"",H10&gt;0,I10&lt;&gt;"",J10&gt;0,K10&gt;0,M10&lt;&gt;"",N10&lt;&gt;""),"Ready","Missing Data")</f>
        <v/>
      </c>
    </row>
    <row r="11">
      <c r="B11" s="12" t="n">
        <v>6</v>
      </c>
      <c r="C11" s="10" t="inlineStr"/>
      <c r="D11" s="10" t="inlineStr"/>
      <c r="E11" s="10" t="inlineStr"/>
      <c r="F11" s="10" t="inlineStr"/>
      <c r="G11" s="10" t="inlineStr"/>
      <c r="H11" s="10" t="inlineStr"/>
      <c r="I11" s="12" t="inlineStr"/>
      <c r="J11" s="10" t="inlineStr"/>
      <c r="K11" s="10" t="inlineStr"/>
      <c r="L11" s="10" t="inlineStr"/>
      <c r="M11" s="12" t="inlineStr"/>
      <c r="N11" s="12" t="inlineStr"/>
      <c r="O11" s="10" t="inlineStr"/>
      <c r="P11" s="12">
        <f>IF(C11="","",IF(AND(C11&lt;&gt;"",F11&gt;0,G11&lt;&gt;"",H11&gt;0,I11&lt;&gt;"",J11&gt;0,K11&gt;0,M11&lt;&gt;"",N11&lt;&gt;""),"Ready","Missing Data"))</f>
        <v/>
      </c>
    </row>
    <row r="12">
      <c r="B12" s="12" t="n">
        <v>7</v>
      </c>
      <c r="C12" s="10" t="inlineStr"/>
      <c r="D12" s="10" t="inlineStr"/>
      <c r="E12" s="10" t="inlineStr"/>
      <c r="F12" s="10" t="inlineStr"/>
      <c r="G12" s="10" t="inlineStr"/>
      <c r="H12" s="10" t="inlineStr"/>
      <c r="I12" s="12" t="inlineStr"/>
      <c r="J12" s="10" t="inlineStr"/>
      <c r="K12" s="10" t="inlineStr"/>
      <c r="L12" s="10" t="inlineStr"/>
      <c r="M12" s="12" t="inlineStr"/>
      <c r="N12" s="12" t="inlineStr"/>
      <c r="O12" s="10" t="inlineStr"/>
      <c r="P12" s="12">
        <f>IF(C12="","",IF(AND(C12&lt;&gt;"",F12&gt;0,G12&lt;&gt;"",H12&gt;0,I12&lt;&gt;"",J12&gt;0,K12&gt;0,M12&lt;&gt;"",N12&lt;&gt;""),"Ready","Missing Data"))</f>
        <v/>
      </c>
    </row>
    <row r="13">
      <c r="B13" s="12" t="n">
        <v>8</v>
      </c>
      <c r="C13" s="10" t="inlineStr"/>
      <c r="D13" s="10" t="inlineStr"/>
      <c r="E13" s="10" t="inlineStr"/>
      <c r="F13" s="10" t="inlineStr"/>
      <c r="G13" s="10" t="inlineStr"/>
      <c r="H13" s="10" t="inlineStr"/>
      <c r="I13" s="12" t="inlineStr"/>
      <c r="J13" s="10" t="inlineStr"/>
      <c r="K13" s="10" t="inlineStr"/>
      <c r="L13" s="10" t="inlineStr"/>
      <c r="M13" s="12" t="inlineStr"/>
      <c r="N13" s="12" t="inlineStr"/>
      <c r="O13" s="10" t="inlineStr"/>
      <c r="P13" s="12">
        <f>IF(C13="","",IF(AND(C13&lt;&gt;"",F13&gt;0,G13&lt;&gt;"",H13&gt;0,I13&lt;&gt;"",J13&gt;0,K13&gt;0,M13&lt;&gt;"",N13&lt;&gt;""),"Ready","Missing Data"))</f>
        <v/>
      </c>
    </row>
    <row r="14">
      <c r="B14" s="12" t="n">
        <v>9</v>
      </c>
      <c r="C14" s="10" t="inlineStr"/>
      <c r="D14" s="10" t="inlineStr"/>
      <c r="E14" s="10" t="inlineStr"/>
      <c r="F14" s="10" t="inlineStr"/>
      <c r="G14" s="10" t="inlineStr"/>
      <c r="H14" s="10" t="inlineStr"/>
      <c r="I14" s="12" t="inlineStr"/>
      <c r="J14" s="10" t="inlineStr"/>
      <c r="K14" s="10" t="inlineStr"/>
      <c r="L14" s="10" t="inlineStr"/>
      <c r="M14" s="12" t="inlineStr"/>
      <c r="N14" s="12" t="inlineStr"/>
      <c r="O14" s="10" t="inlineStr"/>
      <c r="P14" s="12">
        <f>IF(C14="","",IF(AND(C14&lt;&gt;"",F14&gt;0,G14&lt;&gt;"",H14&gt;0,I14&lt;&gt;"",J14&gt;0,K14&gt;0,M14&lt;&gt;"",N14&lt;&gt;""),"Ready","Missing Data"))</f>
        <v/>
      </c>
    </row>
    <row r="15">
      <c r="B15" s="12" t="n">
        <v>10</v>
      </c>
      <c r="C15" s="10" t="inlineStr"/>
      <c r="D15" s="10" t="inlineStr"/>
      <c r="E15" s="10" t="inlineStr"/>
      <c r="F15" s="10" t="inlineStr"/>
      <c r="G15" s="10" t="inlineStr"/>
      <c r="H15" s="10" t="inlineStr"/>
      <c r="I15" s="12" t="inlineStr"/>
      <c r="J15" s="10" t="inlineStr"/>
      <c r="K15" s="10" t="inlineStr"/>
      <c r="L15" s="10" t="inlineStr"/>
      <c r="M15" s="12" t="inlineStr"/>
      <c r="N15" s="12" t="inlineStr"/>
      <c r="O15" s="10" t="inlineStr"/>
      <c r="P15" s="12">
        <f>IF(C15="","",IF(AND(C15&lt;&gt;"",F15&gt;0,G15&lt;&gt;"",H15&gt;0,I15&lt;&gt;"",J15&gt;0,K15&gt;0,M15&lt;&gt;"",N15&lt;&gt;""),"Ready","Missing Data"))</f>
        <v/>
      </c>
    </row>
    <row r="16">
      <c r="B16" s="12" t="n">
        <v>11</v>
      </c>
      <c r="C16" s="10" t="inlineStr"/>
      <c r="D16" s="10" t="inlineStr"/>
      <c r="E16" s="10" t="inlineStr"/>
      <c r="F16" s="10" t="inlineStr"/>
      <c r="G16" s="10" t="inlineStr"/>
      <c r="H16" s="10" t="inlineStr"/>
      <c r="I16" s="12" t="inlineStr"/>
      <c r="J16" s="10" t="inlineStr"/>
      <c r="K16" s="10" t="inlineStr"/>
      <c r="L16" s="10" t="inlineStr"/>
      <c r="M16" s="12" t="inlineStr"/>
      <c r="N16" s="12" t="inlineStr"/>
      <c r="O16" s="10" t="inlineStr"/>
      <c r="P16" s="12">
        <f>IF(C16="","",IF(AND(C16&lt;&gt;"",F16&gt;0,G16&lt;&gt;"",H16&gt;0,I16&lt;&gt;"",J16&gt;0,K16&gt;0,M16&lt;&gt;"",N16&lt;&gt;""),"Ready","Missing Data"))</f>
        <v/>
      </c>
    </row>
    <row r="17">
      <c r="B17" s="12" t="n">
        <v>12</v>
      </c>
      <c r="C17" s="10" t="inlineStr"/>
      <c r="D17" s="10" t="inlineStr"/>
      <c r="E17" s="10" t="inlineStr"/>
      <c r="F17" s="10" t="inlineStr"/>
      <c r="G17" s="10" t="inlineStr"/>
      <c r="H17" s="10" t="inlineStr"/>
      <c r="I17" s="12" t="inlineStr"/>
      <c r="J17" s="10" t="inlineStr"/>
      <c r="K17" s="10" t="inlineStr"/>
      <c r="L17" s="10" t="inlineStr"/>
      <c r="M17" s="12" t="inlineStr"/>
      <c r="N17" s="12" t="inlineStr"/>
      <c r="O17" s="10" t="inlineStr"/>
      <c r="P17" s="12">
        <f>IF(C17="","",IF(AND(C17&lt;&gt;"",F17&gt;0,G17&lt;&gt;"",H17&gt;0,I17&lt;&gt;"",J17&gt;0,K17&gt;0,M17&lt;&gt;"",N17&lt;&gt;""),"Ready","Missing Data"))</f>
        <v/>
      </c>
    </row>
    <row r="18">
      <c r="B18" s="12" t="n">
        <v>13</v>
      </c>
      <c r="C18" s="10" t="inlineStr"/>
      <c r="D18" s="10" t="inlineStr"/>
      <c r="E18" s="10" t="inlineStr"/>
      <c r="F18" s="10" t="inlineStr"/>
      <c r="G18" s="10" t="inlineStr"/>
      <c r="H18" s="10" t="inlineStr"/>
      <c r="I18" s="12" t="inlineStr"/>
      <c r="J18" s="10" t="inlineStr"/>
      <c r="K18" s="10" t="inlineStr"/>
      <c r="L18" s="10" t="inlineStr"/>
      <c r="M18" s="12" t="inlineStr"/>
      <c r="N18" s="12" t="inlineStr"/>
      <c r="O18" s="10" t="inlineStr"/>
      <c r="P18" s="12">
        <f>IF(C18="","",IF(AND(C18&lt;&gt;"",F18&gt;0,G18&lt;&gt;"",H18&gt;0,I18&lt;&gt;"",J18&gt;0,K18&gt;0,M18&lt;&gt;"",N18&lt;&gt;""),"Ready","Missing Data"))</f>
        <v/>
      </c>
    </row>
    <row r="19">
      <c r="B19" s="12" t="n">
        <v>14</v>
      </c>
      <c r="C19" s="10" t="inlineStr"/>
      <c r="D19" s="10" t="inlineStr"/>
      <c r="E19" s="10" t="inlineStr"/>
      <c r="F19" s="10" t="inlineStr"/>
      <c r="G19" s="10" t="inlineStr"/>
      <c r="H19" s="10" t="inlineStr"/>
      <c r="I19" s="12" t="inlineStr"/>
      <c r="J19" s="10" t="inlineStr"/>
      <c r="K19" s="10" t="inlineStr"/>
      <c r="L19" s="10" t="inlineStr"/>
      <c r="M19" s="12" t="inlineStr"/>
      <c r="N19" s="12" t="inlineStr"/>
      <c r="O19" s="10" t="inlineStr"/>
      <c r="P19" s="12">
        <f>IF(C19="","",IF(AND(C19&lt;&gt;"",F19&gt;0,G19&lt;&gt;"",H19&gt;0,I19&lt;&gt;"",J19&gt;0,K19&gt;0,M19&lt;&gt;"",N19&lt;&gt;""),"Ready","Missing Data"))</f>
        <v/>
      </c>
    </row>
    <row r="20">
      <c r="B20" s="12" t="n">
        <v>15</v>
      </c>
      <c r="C20" s="10" t="inlineStr"/>
      <c r="D20" s="10" t="inlineStr"/>
      <c r="E20" s="10" t="inlineStr"/>
      <c r="F20" s="10" t="inlineStr"/>
      <c r="G20" s="10" t="inlineStr"/>
      <c r="H20" s="10" t="inlineStr"/>
      <c r="I20" s="12" t="inlineStr"/>
      <c r="J20" s="10" t="inlineStr"/>
      <c r="K20" s="10" t="inlineStr"/>
      <c r="L20" s="10" t="inlineStr"/>
      <c r="M20" s="12" t="inlineStr"/>
      <c r="N20" s="12" t="inlineStr"/>
      <c r="O20" s="10" t="inlineStr"/>
      <c r="P20" s="12">
        <f>IF(C20="","",IF(AND(C20&lt;&gt;"",F20&gt;0,G20&lt;&gt;"",H20&gt;0,I20&lt;&gt;"",J20&gt;0,K20&gt;0,M20&lt;&gt;"",N20&lt;&gt;""),"Ready","Missing Data"))</f>
        <v/>
      </c>
    </row>
    <row r="21">
      <c r="B21" s="12" t="n">
        <v>16</v>
      </c>
      <c r="C21" s="10" t="inlineStr"/>
      <c r="D21" s="10" t="inlineStr"/>
      <c r="E21" s="10" t="inlineStr"/>
      <c r="F21" s="10" t="inlineStr"/>
      <c r="G21" s="10" t="inlineStr"/>
      <c r="H21" s="10" t="inlineStr"/>
      <c r="I21" s="12" t="inlineStr"/>
      <c r="J21" s="10" t="inlineStr"/>
      <c r="K21" s="10" t="inlineStr"/>
      <c r="L21" s="10" t="inlineStr"/>
      <c r="M21" s="12" t="inlineStr"/>
      <c r="N21" s="12" t="inlineStr"/>
      <c r="O21" s="10" t="inlineStr"/>
      <c r="P21" s="12">
        <f>IF(C21="","",IF(AND(C21&lt;&gt;"",F21&gt;0,G21&lt;&gt;"",H21&gt;0,I21&lt;&gt;"",J21&gt;0,K21&gt;0,M21&lt;&gt;"",N21&lt;&gt;""),"Ready","Missing Data"))</f>
        <v/>
      </c>
    </row>
    <row r="22">
      <c r="B22" s="12" t="n">
        <v>17</v>
      </c>
      <c r="C22" s="10" t="inlineStr"/>
      <c r="D22" s="10" t="inlineStr"/>
      <c r="E22" s="10" t="inlineStr"/>
      <c r="F22" s="10" t="inlineStr"/>
      <c r="G22" s="10" t="inlineStr"/>
      <c r="H22" s="10" t="inlineStr"/>
      <c r="I22" s="12" t="inlineStr"/>
      <c r="J22" s="10" t="inlineStr"/>
      <c r="K22" s="10" t="inlineStr"/>
      <c r="L22" s="10" t="inlineStr"/>
      <c r="M22" s="12" t="inlineStr"/>
      <c r="N22" s="12" t="inlineStr"/>
      <c r="O22" s="10" t="inlineStr"/>
      <c r="P22" s="12">
        <f>IF(C22="","",IF(AND(C22&lt;&gt;"",F22&gt;0,G22&lt;&gt;"",H22&gt;0,I22&lt;&gt;"",J22&gt;0,K22&gt;0,M22&lt;&gt;"",N22&lt;&gt;""),"Ready","Missing Data"))</f>
        <v/>
      </c>
    </row>
    <row r="23">
      <c r="B23" s="12" t="n">
        <v>18</v>
      </c>
      <c r="C23" s="10" t="inlineStr"/>
      <c r="D23" s="10" t="inlineStr"/>
      <c r="E23" s="10" t="inlineStr"/>
      <c r="F23" s="10" t="inlineStr"/>
      <c r="G23" s="10" t="inlineStr"/>
      <c r="H23" s="10" t="inlineStr"/>
      <c r="I23" s="12" t="inlineStr"/>
      <c r="J23" s="10" t="inlineStr"/>
      <c r="K23" s="10" t="inlineStr"/>
      <c r="L23" s="10" t="inlineStr"/>
      <c r="M23" s="12" t="inlineStr"/>
      <c r="N23" s="12" t="inlineStr"/>
      <c r="O23" s="10" t="inlineStr"/>
      <c r="P23" s="12">
        <f>IF(C23="","",IF(AND(C23&lt;&gt;"",F23&gt;0,G23&lt;&gt;"",H23&gt;0,I23&lt;&gt;"",J23&gt;0,K23&gt;0,M23&lt;&gt;"",N23&lt;&gt;""),"Ready","Missing Data"))</f>
        <v/>
      </c>
    </row>
    <row r="24">
      <c r="B24" s="12" t="n">
        <v>19</v>
      </c>
      <c r="C24" s="10" t="inlineStr"/>
      <c r="D24" s="10" t="inlineStr"/>
      <c r="E24" s="10" t="inlineStr"/>
      <c r="F24" s="10" t="inlineStr"/>
      <c r="G24" s="10" t="inlineStr"/>
      <c r="H24" s="10" t="inlineStr"/>
      <c r="I24" s="12" t="inlineStr"/>
      <c r="J24" s="10" t="inlineStr"/>
      <c r="K24" s="10" t="inlineStr"/>
      <c r="L24" s="10" t="inlineStr"/>
      <c r="M24" s="12" t="inlineStr"/>
      <c r="N24" s="12" t="inlineStr"/>
      <c r="O24" s="10" t="inlineStr"/>
      <c r="P24" s="12">
        <f>IF(C24="","",IF(AND(C24&lt;&gt;"",F24&gt;0,G24&lt;&gt;"",H24&gt;0,I24&lt;&gt;"",J24&gt;0,K24&gt;0,M24&lt;&gt;"",N24&lt;&gt;""),"Ready","Missing Data"))</f>
        <v/>
      </c>
    </row>
    <row r="25">
      <c r="B25" s="12" t="n">
        <v>20</v>
      </c>
      <c r="C25" s="10" t="inlineStr"/>
      <c r="D25" s="10" t="inlineStr"/>
      <c r="E25" s="10" t="inlineStr"/>
      <c r="F25" s="10" t="inlineStr"/>
      <c r="G25" s="10" t="inlineStr"/>
      <c r="H25" s="10" t="inlineStr"/>
      <c r="I25" s="12" t="inlineStr"/>
      <c r="J25" s="10" t="inlineStr"/>
      <c r="K25" s="10" t="inlineStr"/>
      <c r="L25" s="10" t="inlineStr"/>
      <c r="M25" s="12" t="inlineStr"/>
      <c r="N25" s="12" t="inlineStr"/>
      <c r="O25" s="10" t="inlineStr"/>
      <c r="P25" s="12">
        <f>IF(C25="","",IF(AND(C25&lt;&gt;"",F25&gt;0,G25&lt;&gt;"",H25&gt;0,I25&lt;&gt;"",J25&gt;0,K25&gt;0,M25&lt;&gt;"",N25&lt;&gt;""),"Ready","Missing Data"))</f>
        <v/>
      </c>
    </row>
    <row r="26">
      <c r="B26" s="12" t="n">
        <v>21</v>
      </c>
      <c r="C26" s="10" t="inlineStr"/>
      <c r="D26" s="10" t="inlineStr"/>
      <c r="E26" s="10" t="inlineStr"/>
      <c r="F26" s="10" t="inlineStr"/>
      <c r="G26" s="10" t="inlineStr"/>
      <c r="H26" s="10" t="inlineStr"/>
      <c r="I26" s="12" t="inlineStr"/>
      <c r="J26" s="10" t="inlineStr"/>
      <c r="K26" s="10" t="inlineStr"/>
      <c r="L26" s="10" t="inlineStr"/>
      <c r="M26" s="12" t="inlineStr"/>
      <c r="N26" s="12" t="inlineStr"/>
      <c r="O26" s="10" t="inlineStr"/>
      <c r="P26" s="12">
        <f>IF(C26="","",IF(AND(C26&lt;&gt;"",F26&gt;0,G26&lt;&gt;"",H26&gt;0,I26&lt;&gt;"",J26&gt;0,K26&gt;0,M26&lt;&gt;"",N26&lt;&gt;""),"Ready","Missing Data"))</f>
        <v/>
      </c>
    </row>
    <row r="27">
      <c r="B27" s="12" t="n">
        <v>22</v>
      </c>
      <c r="C27" s="10" t="inlineStr"/>
      <c r="D27" s="10" t="inlineStr"/>
      <c r="E27" s="10" t="inlineStr"/>
      <c r="F27" s="10" t="inlineStr"/>
      <c r="G27" s="10" t="inlineStr"/>
      <c r="H27" s="10" t="inlineStr"/>
      <c r="I27" s="12" t="inlineStr"/>
      <c r="J27" s="10" t="inlineStr"/>
      <c r="K27" s="10" t="inlineStr"/>
      <c r="L27" s="10" t="inlineStr"/>
      <c r="M27" s="12" t="inlineStr"/>
      <c r="N27" s="12" t="inlineStr"/>
      <c r="O27" s="10" t="inlineStr"/>
      <c r="P27" s="12">
        <f>IF(C27="","",IF(AND(C27&lt;&gt;"",F27&gt;0,G27&lt;&gt;"",H27&gt;0,I27&lt;&gt;"",J27&gt;0,K27&gt;0,M27&lt;&gt;"",N27&lt;&gt;""),"Ready","Missing Data"))</f>
        <v/>
      </c>
    </row>
    <row r="28">
      <c r="B28" s="12" t="n">
        <v>23</v>
      </c>
      <c r="C28" s="10" t="inlineStr"/>
      <c r="D28" s="10" t="inlineStr"/>
      <c r="E28" s="10" t="inlineStr"/>
      <c r="F28" s="10" t="inlineStr"/>
      <c r="G28" s="10" t="inlineStr"/>
      <c r="H28" s="10" t="inlineStr"/>
      <c r="I28" s="12" t="inlineStr"/>
      <c r="J28" s="10" t="inlineStr"/>
      <c r="K28" s="10" t="inlineStr"/>
      <c r="L28" s="10" t="inlineStr"/>
      <c r="M28" s="12" t="inlineStr"/>
      <c r="N28" s="12" t="inlineStr"/>
      <c r="O28" s="10" t="inlineStr"/>
      <c r="P28" s="12">
        <f>IF(C28="","",IF(AND(C28&lt;&gt;"",F28&gt;0,G28&lt;&gt;"",H28&gt;0,I28&lt;&gt;"",J28&gt;0,K28&gt;0,M28&lt;&gt;"",N28&lt;&gt;""),"Ready","Missing Data"))</f>
        <v/>
      </c>
    </row>
    <row r="29">
      <c r="B29" s="12" t="n">
        <v>24</v>
      </c>
      <c r="C29" s="10" t="inlineStr"/>
      <c r="D29" s="10" t="inlineStr"/>
      <c r="E29" s="10" t="inlineStr"/>
      <c r="F29" s="10" t="inlineStr"/>
      <c r="G29" s="10" t="inlineStr"/>
      <c r="H29" s="10" t="inlineStr"/>
      <c r="I29" s="12" t="inlineStr"/>
      <c r="J29" s="10" t="inlineStr"/>
      <c r="K29" s="10" t="inlineStr"/>
      <c r="L29" s="10" t="inlineStr"/>
      <c r="M29" s="12" t="inlineStr"/>
      <c r="N29" s="12" t="inlineStr"/>
      <c r="O29" s="10" t="inlineStr"/>
      <c r="P29" s="12">
        <f>IF(C29="","",IF(AND(C29&lt;&gt;"",F29&gt;0,G29&lt;&gt;"",H29&gt;0,I29&lt;&gt;"",J29&gt;0,K29&gt;0,M29&lt;&gt;"",N29&lt;&gt;""),"Ready","Missing Data"))</f>
        <v/>
      </c>
    </row>
    <row r="30">
      <c r="B30" s="12" t="n">
        <v>25</v>
      </c>
      <c r="C30" s="10" t="inlineStr"/>
      <c r="D30" s="10" t="inlineStr"/>
      <c r="E30" s="10" t="inlineStr"/>
      <c r="F30" s="10" t="inlineStr"/>
      <c r="G30" s="10" t="inlineStr"/>
      <c r="H30" s="10" t="inlineStr"/>
      <c r="I30" s="12" t="inlineStr"/>
      <c r="J30" s="10" t="inlineStr"/>
      <c r="K30" s="10" t="inlineStr"/>
      <c r="L30" s="10" t="inlineStr"/>
      <c r="M30" s="12" t="inlineStr"/>
      <c r="N30" s="12" t="inlineStr"/>
      <c r="O30" s="10" t="inlineStr"/>
      <c r="P30" s="12">
        <f>IF(C30="","",IF(AND(C30&lt;&gt;"",F30&gt;0,G30&lt;&gt;"",H30&gt;0,I30&lt;&gt;"",J30&gt;0,K30&gt;0,M30&lt;&gt;"",N30&lt;&gt;""),"Ready","Missing Data"))</f>
        <v/>
      </c>
    </row>
    <row r="31">
      <c r="B31" s="12" t="n">
        <v>26</v>
      </c>
      <c r="C31" s="10" t="inlineStr"/>
      <c r="D31" s="10" t="inlineStr"/>
      <c r="E31" s="10" t="inlineStr"/>
      <c r="F31" s="10" t="inlineStr"/>
      <c r="G31" s="10" t="inlineStr"/>
      <c r="H31" s="10" t="inlineStr"/>
      <c r="I31" s="12" t="inlineStr"/>
      <c r="J31" s="10" t="inlineStr"/>
      <c r="K31" s="10" t="inlineStr"/>
      <c r="L31" s="10" t="inlineStr"/>
      <c r="M31" s="12" t="inlineStr"/>
      <c r="N31" s="12" t="inlineStr"/>
      <c r="O31" s="10" t="inlineStr"/>
      <c r="P31" s="12">
        <f>IF(C31="","",IF(AND(C31&lt;&gt;"",F31&gt;0,G31&lt;&gt;"",H31&gt;0,I31&lt;&gt;"",J31&gt;0,K31&gt;0,M31&lt;&gt;"",N31&lt;&gt;""),"Ready","Missing Data"))</f>
        <v/>
      </c>
    </row>
    <row r="32">
      <c r="B32" s="12" t="n">
        <v>27</v>
      </c>
      <c r="C32" s="10" t="inlineStr"/>
      <c r="D32" s="10" t="inlineStr"/>
      <c r="E32" s="10" t="inlineStr"/>
      <c r="F32" s="10" t="inlineStr"/>
      <c r="G32" s="10" t="inlineStr"/>
      <c r="H32" s="10" t="inlineStr"/>
      <c r="I32" s="12" t="inlineStr"/>
      <c r="J32" s="10" t="inlineStr"/>
      <c r="K32" s="10" t="inlineStr"/>
      <c r="L32" s="10" t="inlineStr"/>
      <c r="M32" s="12" t="inlineStr"/>
      <c r="N32" s="12" t="inlineStr"/>
      <c r="O32" s="10" t="inlineStr"/>
      <c r="P32" s="12">
        <f>IF(C32="","",IF(AND(C32&lt;&gt;"",F32&gt;0,G32&lt;&gt;"",H32&gt;0,I32&lt;&gt;"",J32&gt;0,K32&gt;0,M32&lt;&gt;"",N32&lt;&gt;""),"Ready","Missing Data"))</f>
        <v/>
      </c>
    </row>
    <row r="33">
      <c r="B33" s="12" t="n">
        <v>28</v>
      </c>
      <c r="C33" s="10" t="inlineStr"/>
      <c r="D33" s="10" t="inlineStr"/>
      <c r="E33" s="10" t="inlineStr"/>
      <c r="F33" s="10" t="inlineStr"/>
      <c r="G33" s="10" t="inlineStr"/>
      <c r="H33" s="10" t="inlineStr"/>
      <c r="I33" s="12" t="inlineStr"/>
      <c r="J33" s="10" t="inlineStr"/>
      <c r="K33" s="10" t="inlineStr"/>
      <c r="L33" s="10" t="inlineStr"/>
      <c r="M33" s="12" t="inlineStr"/>
      <c r="N33" s="12" t="inlineStr"/>
      <c r="O33" s="10" t="inlineStr"/>
      <c r="P33" s="12">
        <f>IF(C33="","",IF(AND(C33&lt;&gt;"",F33&gt;0,G33&lt;&gt;"",H33&gt;0,I33&lt;&gt;"",J33&gt;0,K33&gt;0,M33&lt;&gt;"",N33&lt;&gt;""),"Ready","Missing Data"))</f>
        <v/>
      </c>
    </row>
    <row r="34">
      <c r="B34" s="12" t="n">
        <v>29</v>
      </c>
      <c r="C34" s="10" t="inlineStr"/>
      <c r="D34" s="10" t="inlineStr"/>
      <c r="E34" s="10" t="inlineStr"/>
      <c r="F34" s="10" t="inlineStr"/>
      <c r="G34" s="10" t="inlineStr"/>
      <c r="H34" s="10" t="inlineStr"/>
      <c r="I34" s="12" t="inlineStr"/>
      <c r="J34" s="10" t="inlineStr"/>
      <c r="K34" s="10" t="inlineStr"/>
      <c r="L34" s="10" t="inlineStr"/>
      <c r="M34" s="12" t="inlineStr"/>
      <c r="N34" s="12" t="inlineStr"/>
      <c r="O34" s="10" t="inlineStr"/>
      <c r="P34" s="12">
        <f>IF(C34="","",IF(AND(C34&lt;&gt;"",F34&gt;0,G34&lt;&gt;"",H34&gt;0,I34&lt;&gt;"",J34&gt;0,K34&gt;0,M34&lt;&gt;"",N34&lt;&gt;""),"Ready","Missing Data"))</f>
        <v/>
      </c>
    </row>
    <row r="35">
      <c r="B35" s="12" t="n">
        <v>30</v>
      </c>
      <c r="C35" s="10" t="inlineStr"/>
      <c r="D35" s="10" t="inlineStr"/>
      <c r="E35" s="10" t="inlineStr"/>
      <c r="F35" s="10" t="inlineStr"/>
      <c r="G35" s="10" t="inlineStr"/>
      <c r="H35" s="10" t="inlineStr"/>
      <c r="I35" s="12" t="inlineStr"/>
      <c r="J35" s="10" t="inlineStr"/>
      <c r="K35" s="10" t="inlineStr"/>
      <c r="L35" s="10" t="inlineStr"/>
      <c r="M35" s="12" t="inlineStr"/>
      <c r="N35" s="12" t="inlineStr"/>
      <c r="O35" s="10" t="inlineStr"/>
      <c r="P35" s="12">
        <f>IF(C35="","",IF(AND(C35&lt;&gt;"",F35&gt;0,G35&lt;&gt;"",H35&gt;0,I35&lt;&gt;"",J35&gt;0,K35&gt;0,M35&lt;&gt;"",N35&lt;&gt;""),"Ready","Missing Data"))</f>
        <v/>
      </c>
    </row>
    <row r="36">
      <c r="B36" s="12" t="n">
        <v>31</v>
      </c>
      <c r="C36" s="10" t="inlineStr"/>
      <c r="D36" s="10" t="inlineStr"/>
      <c r="E36" s="10" t="inlineStr"/>
      <c r="F36" s="10" t="inlineStr"/>
      <c r="G36" s="10" t="inlineStr"/>
      <c r="H36" s="10" t="inlineStr"/>
      <c r="I36" s="12" t="inlineStr"/>
      <c r="J36" s="10" t="inlineStr"/>
      <c r="K36" s="10" t="inlineStr"/>
      <c r="L36" s="10" t="inlineStr"/>
      <c r="M36" s="12" t="inlineStr"/>
      <c r="N36" s="12" t="inlineStr"/>
      <c r="O36" s="10" t="inlineStr"/>
      <c r="P36" s="12">
        <f>IF(C36="","",IF(AND(C36&lt;&gt;"",F36&gt;0,G36&lt;&gt;"",H36&gt;0,I36&lt;&gt;"",J36&gt;0,K36&gt;0,M36&lt;&gt;"",N36&lt;&gt;""),"Ready","Missing Data"))</f>
        <v/>
      </c>
    </row>
    <row r="37">
      <c r="B37" s="12" t="n">
        <v>32</v>
      </c>
      <c r="C37" s="10" t="inlineStr"/>
      <c r="D37" s="10" t="inlineStr"/>
      <c r="E37" s="10" t="inlineStr"/>
      <c r="F37" s="10" t="inlineStr"/>
      <c r="G37" s="10" t="inlineStr"/>
      <c r="H37" s="10" t="inlineStr"/>
      <c r="I37" s="12" t="inlineStr"/>
      <c r="J37" s="10" t="inlineStr"/>
      <c r="K37" s="10" t="inlineStr"/>
      <c r="L37" s="10" t="inlineStr"/>
      <c r="M37" s="12" t="inlineStr"/>
      <c r="N37" s="12" t="inlineStr"/>
      <c r="O37" s="10" t="inlineStr"/>
      <c r="P37" s="12">
        <f>IF(C37="","",IF(AND(C37&lt;&gt;"",F37&gt;0,G37&lt;&gt;"",H37&gt;0,I37&lt;&gt;"",J37&gt;0,K37&gt;0,M37&lt;&gt;"",N37&lt;&gt;""),"Ready","Missing Data"))</f>
        <v/>
      </c>
    </row>
    <row r="38">
      <c r="B38" s="12" t="n">
        <v>33</v>
      </c>
      <c r="C38" s="10" t="inlineStr"/>
      <c r="D38" s="10" t="inlineStr"/>
      <c r="E38" s="10" t="inlineStr"/>
      <c r="F38" s="10" t="inlineStr"/>
      <c r="G38" s="10" t="inlineStr"/>
      <c r="H38" s="10" t="inlineStr"/>
      <c r="I38" s="12" t="inlineStr"/>
      <c r="J38" s="10" t="inlineStr"/>
      <c r="K38" s="10" t="inlineStr"/>
      <c r="L38" s="10" t="inlineStr"/>
      <c r="M38" s="12" t="inlineStr"/>
      <c r="N38" s="12" t="inlineStr"/>
      <c r="O38" s="10" t="inlineStr"/>
      <c r="P38" s="12">
        <f>IF(C38="","",IF(AND(C38&lt;&gt;"",F38&gt;0,G38&lt;&gt;"",H38&gt;0,I38&lt;&gt;"",J38&gt;0,K38&gt;0,M38&lt;&gt;"",N38&lt;&gt;""),"Ready","Missing Data"))</f>
        <v/>
      </c>
    </row>
    <row r="39">
      <c r="B39" s="12" t="n">
        <v>34</v>
      </c>
      <c r="C39" s="10" t="inlineStr"/>
      <c r="D39" s="10" t="inlineStr"/>
      <c r="E39" s="10" t="inlineStr"/>
      <c r="F39" s="10" t="inlineStr"/>
      <c r="G39" s="10" t="inlineStr"/>
      <c r="H39" s="10" t="inlineStr"/>
      <c r="I39" s="12" t="inlineStr"/>
      <c r="J39" s="10" t="inlineStr"/>
      <c r="K39" s="10" t="inlineStr"/>
      <c r="L39" s="10" t="inlineStr"/>
      <c r="M39" s="12" t="inlineStr"/>
      <c r="N39" s="12" t="inlineStr"/>
      <c r="O39" s="10" t="inlineStr"/>
      <c r="P39" s="12">
        <f>IF(C39="","",IF(AND(C39&lt;&gt;"",F39&gt;0,G39&lt;&gt;"",H39&gt;0,I39&lt;&gt;"",J39&gt;0,K39&gt;0,M39&lt;&gt;"",N39&lt;&gt;""),"Ready","Missing Data"))</f>
        <v/>
      </c>
    </row>
    <row r="40">
      <c r="B40" s="12" t="n">
        <v>35</v>
      </c>
      <c r="C40" s="10" t="inlineStr"/>
      <c r="D40" s="10" t="inlineStr"/>
      <c r="E40" s="10" t="inlineStr"/>
      <c r="F40" s="10" t="inlineStr"/>
      <c r="G40" s="10" t="inlineStr"/>
      <c r="H40" s="10" t="inlineStr"/>
      <c r="I40" s="12" t="inlineStr"/>
      <c r="J40" s="10" t="inlineStr"/>
      <c r="K40" s="10" t="inlineStr"/>
      <c r="L40" s="10" t="inlineStr"/>
      <c r="M40" s="12" t="inlineStr"/>
      <c r="N40" s="12" t="inlineStr"/>
      <c r="O40" s="10" t="inlineStr"/>
      <c r="P40" s="12">
        <f>IF(C40="","",IF(AND(C40&lt;&gt;"",F40&gt;0,G40&lt;&gt;"",H40&gt;0,I40&lt;&gt;"",J40&gt;0,K40&gt;0,M40&lt;&gt;"",N40&lt;&gt;""),"Ready","Missing Data"))</f>
        <v/>
      </c>
    </row>
    <row r="41">
      <c r="B41" s="12" t="n">
        <v>36</v>
      </c>
      <c r="C41" s="10" t="inlineStr"/>
      <c r="D41" s="10" t="inlineStr"/>
      <c r="E41" s="10" t="inlineStr"/>
      <c r="F41" s="10" t="inlineStr"/>
      <c r="G41" s="10" t="inlineStr"/>
      <c r="H41" s="10" t="inlineStr"/>
      <c r="I41" s="12" t="inlineStr"/>
      <c r="J41" s="10" t="inlineStr"/>
      <c r="K41" s="10" t="inlineStr"/>
      <c r="L41" s="10" t="inlineStr"/>
      <c r="M41" s="12" t="inlineStr"/>
      <c r="N41" s="12" t="inlineStr"/>
      <c r="O41" s="10" t="inlineStr"/>
      <c r="P41" s="12">
        <f>IF(C41="","",IF(AND(C41&lt;&gt;"",F41&gt;0,G41&lt;&gt;"",H41&gt;0,I41&lt;&gt;"",J41&gt;0,K41&gt;0,M41&lt;&gt;"",N41&lt;&gt;""),"Ready","Missing Data"))</f>
        <v/>
      </c>
    </row>
    <row r="42">
      <c r="B42" s="12" t="n">
        <v>37</v>
      </c>
      <c r="C42" s="10" t="inlineStr"/>
      <c r="D42" s="10" t="inlineStr"/>
      <c r="E42" s="10" t="inlineStr"/>
      <c r="F42" s="10" t="inlineStr"/>
      <c r="G42" s="10" t="inlineStr"/>
      <c r="H42" s="10" t="inlineStr"/>
      <c r="I42" s="12" t="inlineStr"/>
      <c r="J42" s="10" t="inlineStr"/>
      <c r="K42" s="10" t="inlineStr"/>
      <c r="L42" s="10" t="inlineStr"/>
      <c r="M42" s="12" t="inlineStr"/>
      <c r="N42" s="12" t="inlineStr"/>
      <c r="O42" s="10" t="inlineStr"/>
      <c r="P42" s="12">
        <f>IF(C42="","",IF(AND(C42&lt;&gt;"",F42&gt;0,G42&lt;&gt;"",H42&gt;0,I42&lt;&gt;"",J42&gt;0,K42&gt;0,M42&lt;&gt;"",N42&lt;&gt;""),"Ready","Missing Data"))</f>
        <v/>
      </c>
    </row>
    <row r="43">
      <c r="B43" s="12" t="n">
        <v>38</v>
      </c>
      <c r="C43" s="10" t="inlineStr"/>
      <c r="D43" s="10" t="inlineStr"/>
      <c r="E43" s="10" t="inlineStr"/>
      <c r="F43" s="10" t="inlineStr"/>
      <c r="G43" s="10" t="inlineStr"/>
      <c r="H43" s="10" t="inlineStr"/>
      <c r="I43" s="12" t="inlineStr"/>
      <c r="J43" s="10" t="inlineStr"/>
      <c r="K43" s="10" t="inlineStr"/>
      <c r="L43" s="10" t="inlineStr"/>
      <c r="M43" s="12" t="inlineStr"/>
      <c r="N43" s="12" t="inlineStr"/>
      <c r="O43" s="10" t="inlineStr"/>
      <c r="P43" s="12">
        <f>IF(C43="","",IF(AND(C43&lt;&gt;"",F43&gt;0,G43&lt;&gt;"",H43&gt;0,I43&lt;&gt;"",J43&gt;0,K43&gt;0,M43&lt;&gt;"",N43&lt;&gt;""),"Ready","Missing Data"))</f>
        <v/>
      </c>
    </row>
    <row r="44">
      <c r="B44" s="12" t="n">
        <v>39</v>
      </c>
      <c r="C44" s="10" t="inlineStr"/>
      <c r="D44" s="10" t="inlineStr"/>
      <c r="E44" s="10" t="inlineStr"/>
      <c r="F44" s="10" t="inlineStr"/>
      <c r="G44" s="10" t="inlineStr"/>
      <c r="H44" s="10" t="inlineStr"/>
      <c r="I44" s="12" t="inlineStr"/>
      <c r="J44" s="10" t="inlineStr"/>
      <c r="K44" s="10" t="inlineStr"/>
      <c r="L44" s="10" t="inlineStr"/>
      <c r="M44" s="12" t="inlineStr"/>
      <c r="N44" s="12" t="inlineStr"/>
      <c r="O44" s="10" t="inlineStr"/>
      <c r="P44" s="12">
        <f>IF(C44="","",IF(AND(C44&lt;&gt;"",F44&gt;0,G44&lt;&gt;"",H44&gt;0,I44&lt;&gt;"",J44&gt;0,K44&gt;0,M44&lt;&gt;"",N44&lt;&gt;""),"Ready","Missing Data"))</f>
        <v/>
      </c>
    </row>
    <row r="45">
      <c r="B45" s="12" t="n">
        <v>40</v>
      </c>
      <c r="C45" s="10" t="inlineStr"/>
      <c r="D45" s="10" t="inlineStr"/>
      <c r="E45" s="10" t="inlineStr"/>
      <c r="F45" s="10" t="inlineStr"/>
      <c r="G45" s="10" t="inlineStr"/>
      <c r="H45" s="10" t="inlineStr"/>
      <c r="I45" s="12" t="inlineStr"/>
      <c r="J45" s="10" t="inlineStr"/>
      <c r="K45" s="10" t="inlineStr"/>
      <c r="L45" s="10" t="inlineStr"/>
      <c r="M45" s="12" t="inlineStr"/>
      <c r="N45" s="12" t="inlineStr"/>
      <c r="O45" s="10" t="inlineStr"/>
      <c r="P45" s="12">
        <f>IF(C45="","",IF(AND(C45&lt;&gt;"",F45&gt;0,G45&lt;&gt;"",H45&gt;0,I45&lt;&gt;"",J45&gt;0,K45&gt;0,M45&lt;&gt;"",N45&lt;&gt;""),"Ready","Missing Data"))</f>
        <v/>
      </c>
    </row>
    <row r="46">
      <c r="B46" s="12" t="n">
        <v>41</v>
      </c>
      <c r="C46" s="10" t="inlineStr"/>
      <c r="D46" s="10" t="inlineStr"/>
      <c r="E46" s="10" t="inlineStr"/>
      <c r="F46" s="10" t="inlineStr"/>
      <c r="G46" s="10" t="inlineStr"/>
      <c r="H46" s="10" t="inlineStr"/>
      <c r="I46" s="12" t="inlineStr"/>
      <c r="J46" s="10" t="inlineStr"/>
      <c r="K46" s="10" t="inlineStr"/>
      <c r="L46" s="10" t="inlineStr"/>
      <c r="M46" s="12" t="inlineStr"/>
      <c r="N46" s="12" t="inlineStr"/>
      <c r="O46" s="10" t="inlineStr"/>
      <c r="P46" s="12">
        <f>IF(C46="","",IF(AND(C46&lt;&gt;"",F46&gt;0,G46&lt;&gt;"",H46&gt;0,I46&lt;&gt;"",J46&gt;0,K46&gt;0,M46&lt;&gt;"",N46&lt;&gt;""),"Ready","Missing Data"))</f>
        <v/>
      </c>
    </row>
    <row r="47">
      <c r="B47" s="12" t="n">
        <v>42</v>
      </c>
      <c r="C47" s="10" t="inlineStr"/>
      <c r="D47" s="10" t="inlineStr"/>
      <c r="E47" s="10" t="inlineStr"/>
      <c r="F47" s="10" t="inlineStr"/>
      <c r="G47" s="10" t="inlineStr"/>
      <c r="H47" s="10" t="inlineStr"/>
      <c r="I47" s="12" t="inlineStr"/>
      <c r="J47" s="10" t="inlineStr"/>
      <c r="K47" s="10" t="inlineStr"/>
      <c r="L47" s="10" t="inlineStr"/>
      <c r="M47" s="12" t="inlineStr"/>
      <c r="N47" s="12" t="inlineStr"/>
      <c r="O47" s="10" t="inlineStr"/>
      <c r="P47" s="12">
        <f>IF(C47="","",IF(AND(C47&lt;&gt;"",F47&gt;0,G47&lt;&gt;"",H47&gt;0,I47&lt;&gt;"",J47&gt;0,K47&gt;0,M47&lt;&gt;"",N47&lt;&gt;""),"Ready","Missing Data"))</f>
        <v/>
      </c>
    </row>
    <row r="48">
      <c r="B48" s="12" t="n">
        <v>43</v>
      </c>
      <c r="C48" s="10" t="inlineStr"/>
      <c r="D48" s="10" t="inlineStr"/>
      <c r="E48" s="10" t="inlineStr"/>
      <c r="F48" s="10" t="inlineStr"/>
      <c r="G48" s="10" t="inlineStr"/>
      <c r="H48" s="10" t="inlineStr"/>
      <c r="I48" s="12" t="inlineStr"/>
      <c r="J48" s="10" t="inlineStr"/>
      <c r="K48" s="10" t="inlineStr"/>
      <c r="L48" s="10" t="inlineStr"/>
      <c r="M48" s="12" t="inlineStr"/>
      <c r="N48" s="12" t="inlineStr"/>
      <c r="O48" s="10" t="inlineStr"/>
      <c r="P48" s="12">
        <f>IF(C48="","",IF(AND(C48&lt;&gt;"",F48&gt;0,G48&lt;&gt;"",H48&gt;0,I48&lt;&gt;"",J48&gt;0,K48&gt;0,M48&lt;&gt;"",N48&lt;&gt;""),"Ready","Missing Data"))</f>
        <v/>
      </c>
    </row>
    <row r="49">
      <c r="B49" s="12" t="n">
        <v>44</v>
      </c>
      <c r="C49" s="10" t="inlineStr"/>
      <c r="D49" s="10" t="inlineStr"/>
      <c r="E49" s="10" t="inlineStr"/>
      <c r="F49" s="10" t="inlineStr"/>
      <c r="G49" s="10" t="inlineStr"/>
      <c r="H49" s="10" t="inlineStr"/>
      <c r="I49" s="12" t="inlineStr"/>
      <c r="J49" s="10" t="inlineStr"/>
      <c r="K49" s="10" t="inlineStr"/>
      <c r="L49" s="10" t="inlineStr"/>
      <c r="M49" s="12" t="inlineStr"/>
      <c r="N49" s="12" t="inlineStr"/>
      <c r="O49" s="10" t="inlineStr"/>
      <c r="P49" s="12">
        <f>IF(C49="","",IF(AND(C49&lt;&gt;"",F49&gt;0,G49&lt;&gt;"",H49&gt;0,I49&lt;&gt;"",J49&gt;0,K49&gt;0,M49&lt;&gt;"",N49&lt;&gt;""),"Ready","Missing Data"))</f>
        <v/>
      </c>
    </row>
    <row r="50">
      <c r="B50" s="12" t="n">
        <v>45</v>
      </c>
      <c r="C50" s="10" t="inlineStr"/>
      <c r="D50" s="10" t="inlineStr"/>
      <c r="E50" s="10" t="inlineStr"/>
      <c r="F50" s="10" t="inlineStr"/>
      <c r="G50" s="10" t="inlineStr"/>
      <c r="H50" s="10" t="inlineStr"/>
      <c r="I50" s="12" t="inlineStr"/>
      <c r="J50" s="10" t="inlineStr"/>
      <c r="K50" s="10" t="inlineStr"/>
      <c r="L50" s="10" t="inlineStr"/>
      <c r="M50" s="12" t="inlineStr"/>
      <c r="N50" s="12" t="inlineStr"/>
      <c r="O50" s="10" t="inlineStr"/>
      <c r="P50" s="12">
        <f>IF(C50="","",IF(AND(C50&lt;&gt;"",F50&gt;0,G50&lt;&gt;"",H50&gt;0,I50&lt;&gt;"",J50&gt;0,K50&gt;0,M50&lt;&gt;"",N50&lt;&gt;""),"Ready","Missing Data"))</f>
        <v/>
      </c>
    </row>
    <row r="51">
      <c r="B51" s="12" t="n">
        <v>46</v>
      </c>
      <c r="C51" s="10" t="inlineStr"/>
      <c r="D51" s="10" t="inlineStr"/>
      <c r="E51" s="10" t="inlineStr"/>
      <c r="F51" s="10" t="inlineStr"/>
      <c r="G51" s="10" t="inlineStr"/>
      <c r="H51" s="10" t="inlineStr"/>
      <c r="I51" s="12" t="inlineStr"/>
      <c r="J51" s="10" t="inlineStr"/>
      <c r="K51" s="10" t="inlineStr"/>
      <c r="L51" s="10" t="inlineStr"/>
      <c r="M51" s="12" t="inlineStr"/>
      <c r="N51" s="12" t="inlineStr"/>
      <c r="O51" s="10" t="inlineStr"/>
      <c r="P51" s="12">
        <f>IF(C51="","",IF(AND(C51&lt;&gt;"",F51&gt;0,G51&lt;&gt;"",H51&gt;0,I51&lt;&gt;"",J51&gt;0,K51&gt;0,M51&lt;&gt;"",N51&lt;&gt;""),"Ready","Missing Data"))</f>
        <v/>
      </c>
    </row>
    <row r="52">
      <c r="B52" s="12" t="n">
        <v>47</v>
      </c>
      <c r="C52" s="10" t="inlineStr"/>
      <c r="D52" s="10" t="inlineStr"/>
      <c r="E52" s="10" t="inlineStr"/>
      <c r="F52" s="10" t="inlineStr"/>
      <c r="G52" s="10" t="inlineStr"/>
      <c r="H52" s="10" t="inlineStr"/>
      <c r="I52" s="12" t="inlineStr"/>
      <c r="J52" s="10" t="inlineStr"/>
      <c r="K52" s="10" t="inlineStr"/>
      <c r="L52" s="10" t="inlineStr"/>
      <c r="M52" s="12" t="inlineStr"/>
      <c r="N52" s="12" t="inlineStr"/>
      <c r="O52" s="10" t="inlineStr"/>
      <c r="P52" s="12">
        <f>IF(C52="","",IF(AND(C52&lt;&gt;"",F52&gt;0,G52&lt;&gt;"",H52&gt;0,I52&lt;&gt;"",J52&gt;0,K52&gt;0,M52&lt;&gt;"",N52&lt;&gt;""),"Ready","Missing Data"))</f>
        <v/>
      </c>
    </row>
    <row r="53">
      <c r="B53" s="12" t="n">
        <v>48</v>
      </c>
      <c r="C53" s="10" t="inlineStr"/>
      <c r="D53" s="10" t="inlineStr"/>
      <c r="E53" s="10" t="inlineStr"/>
      <c r="F53" s="10" t="inlineStr"/>
      <c r="G53" s="10" t="inlineStr"/>
      <c r="H53" s="10" t="inlineStr"/>
      <c r="I53" s="12" t="inlineStr"/>
      <c r="J53" s="10" t="inlineStr"/>
      <c r="K53" s="10" t="inlineStr"/>
      <c r="L53" s="10" t="inlineStr"/>
      <c r="M53" s="12" t="inlineStr"/>
      <c r="N53" s="12" t="inlineStr"/>
      <c r="O53" s="10" t="inlineStr"/>
      <c r="P53" s="12">
        <f>IF(C53="","",IF(AND(C53&lt;&gt;"",F53&gt;0,G53&lt;&gt;"",H53&gt;0,I53&lt;&gt;"",J53&gt;0,K53&gt;0,M53&lt;&gt;"",N53&lt;&gt;""),"Ready","Missing Data"))</f>
        <v/>
      </c>
    </row>
    <row r="54">
      <c r="B54" s="12" t="n">
        <v>49</v>
      </c>
      <c r="C54" s="10" t="inlineStr"/>
      <c r="D54" s="10" t="inlineStr"/>
      <c r="E54" s="10" t="inlineStr"/>
      <c r="F54" s="10" t="inlineStr"/>
      <c r="G54" s="10" t="inlineStr"/>
      <c r="H54" s="10" t="inlineStr"/>
      <c r="I54" s="12" t="inlineStr"/>
      <c r="J54" s="10" t="inlineStr"/>
      <c r="K54" s="10" t="inlineStr"/>
      <c r="L54" s="10" t="inlineStr"/>
      <c r="M54" s="12" t="inlineStr"/>
      <c r="N54" s="12" t="inlineStr"/>
      <c r="O54" s="10" t="inlineStr"/>
      <c r="P54" s="12">
        <f>IF(C54="","",IF(AND(C54&lt;&gt;"",F54&gt;0,G54&lt;&gt;"",H54&gt;0,I54&lt;&gt;"",J54&gt;0,K54&gt;0,M54&lt;&gt;"",N54&lt;&gt;""),"Ready","Missing Data"))</f>
        <v/>
      </c>
    </row>
    <row r="55">
      <c r="B55" s="12" t="n">
        <v>50</v>
      </c>
      <c r="C55" s="10" t="inlineStr"/>
      <c r="D55" s="10" t="inlineStr"/>
      <c r="E55" s="10" t="inlineStr"/>
      <c r="F55" s="10" t="inlineStr"/>
      <c r="G55" s="10" t="inlineStr"/>
      <c r="H55" s="10" t="inlineStr"/>
      <c r="I55" s="12" t="inlineStr"/>
      <c r="J55" s="10" t="inlineStr"/>
      <c r="K55" s="10" t="inlineStr"/>
      <c r="L55" s="10" t="inlineStr"/>
      <c r="M55" s="12" t="inlineStr"/>
      <c r="N55" s="12" t="inlineStr"/>
      <c r="O55" s="10" t="inlineStr"/>
      <c r="P55" s="12">
        <f>IF(C55="","",IF(AND(C55&lt;&gt;"",F55&gt;0,G55&lt;&gt;"",H55&gt;0,I55&lt;&gt;"",J55&gt;0,K55&gt;0,M55&lt;&gt;"",N55&lt;&gt;""),"Ready","Missing Data"))</f>
        <v/>
      </c>
    </row>
  </sheetData>
  <mergeCells count="2">
    <mergeCell ref="B3:N3"/>
    <mergeCell ref="B2:N2"/>
  </mergeCells>
  <conditionalFormatting sqref="P6:P55">
    <cfRule type="expression" priority="1" dxfId="0">
      <formula>$P6="Ready"</formula>
    </cfRule>
    <cfRule type="expression" priority="2" dxfId="1">
      <formula>$P6="Missing Data"</formula>
    </cfRule>
  </conditionalFormatting>
  <dataValidations count="6">
    <dataValidation sqref="E6:E55" showDropDown="0" showInputMessage="0" showErrorMessage="0" allowBlank="0" type="list">
      <formula1>"Credit Card,Loan,Overdraft,Line of Credit,Other"</formula1>
    </dataValidation>
    <dataValidation sqref="I6:I55" showDropDown="0" showInputMessage="0" showErrorMessage="0" allowBlank="0" type="list">
      <formula1>"Monthly,Daily"</formula1>
    </dataValidation>
    <dataValidation sqref="M6:M55" showDropDown="0" showInputMessage="0" showErrorMessage="0" allowBlank="0" type="list">
      <formula1>"Yes,No"</formula1>
    </dataValidation>
    <dataValidation sqref="N6:N55" showDropDown="0" showInputMessage="0" showErrorMessage="0" allowBlank="0" type="list">
      <formula1>"Open,Paid,On Hold"</formula1>
    </dataValidation>
    <dataValidation sqref="K6:K55" showDropDown="0" showInputMessage="0" showErrorMessage="0" allowBlank="0" error="Due day must be between 1 and 28" type="whole" operator="between">
      <formula1>1</formula1>
      <formula2>28</formula2>
    </dataValidation>
    <dataValidation sqref="H6:H55" showDropDown="0" showInputMessage="0" showErrorMessage="0" allowBlank="0" error="Interest rate must be between 0% and 100%" type="decimal" operator="between">
      <formula1>0</formula1>
      <formula2>1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5" customWidth="1" min="4" max="4"/>
    <col width="35" customWidth="1" min="5" max="5"/>
    <col width="20" customWidth="1" min="6" max="6"/>
  </cols>
  <sheetData>
    <row r="2">
      <c r="B2" s="9" t="inlineStr">
        <is>
          <t>BUDGET &amp; DEBT CAPACITY</t>
        </is>
      </c>
    </row>
    <row r="3">
      <c r="B3" s="16" t="inlineStr">
        <is>
          <t>Determine how much you can afford to put toward debt each month</t>
        </is>
      </c>
    </row>
    <row r="5">
      <c r="B5" s="3" t="inlineStr">
        <is>
          <t>MONTHLY INCOME</t>
        </is>
      </c>
      <c r="E5" s="3" t="inlineStr">
        <is>
          <t>FEASIBILITY CHECK</t>
        </is>
      </c>
    </row>
    <row r="7">
      <c r="B7" t="inlineStr">
        <is>
          <t>Primary Income (Net)</t>
        </is>
      </c>
      <c r="C7" s="19" t="n">
        <v>0</v>
      </c>
      <c r="E7" s="4" t="inlineStr">
        <is>
          <t>Total Minimum Payments Required</t>
        </is>
      </c>
      <c r="F7" s="20">
        <f>SUMIF(tblDebts[IsIncluded],"Yes",tblDebts[MinimumPayment])</f>
        <v/>
      </c>
    </row>
    <row r="8">
      <c r="B8" t="inlineStr">
        <is>
          <t>Secondary Income</t>
        </is>
      </c>
      <c r="C8" s="19" t="n">
        <v>0</v>
      </c>
      <c r="E8" s="4" t="inlineStr">
        <is>
          <t>Your Debt Payment Capacity</t>
        </is>
      </c>
      <c r="F8" s="20">
        <f>C28</f>
        <v/>
      </c>
    </row>
    <row r="9">
      <c r="B9" t="inlineStr">
        <is>
          <t>Other Income</t>
        </is>
      </c>
      <c r="C9" s="19" t="n">
        <v>0</v>
      </c>
      <c r="E9" s="4" t="inlineStr">
        <is>
          <t>Surplus / (Shortfall)</t>
        </is>
      </c>
      <c r="F9" s="20">
        <f>F8-F7</f>
        <v/>
      </c>
    </row>
    <row r="10">
      <c r="B10" s="4" t="inlineStr">
        <is>
          <t>Total Monthly Income</t>
        </is>
      </c>
      <c r="C10" s="21">
        <f>SUM(C7:C9)</f>
        <v/>
      </c>
    </row>
    <row r="11">
      <c r="E11" s="4" t="inlineStr">
        <is>
          <t>Status</t>
        </is>
      </c>
      <c r="F11" s="13">
        <f>IF(F9&gt;=0,"✓ Feasible","⚠ Insufficient Capacity")</f>
        <v/>
      </c>
    </row>
    <row r="12">
      <c r="B12" s="3" t="inlineStr">
        <is>
          <t>ESSENTIAL EXPENSES</t>
        </is>
      </c>
    </row>
    <row r="13">
      <c r="E13" s="4" t="inlineStr">
        <is>
          <t>Suggested Extra Payment</t>
        </is>
      </c>
      <c r="F13" s="21">
        <f>MAX(0,F9)</f>
        <v/>
      </c>
    </row>
    <row r="14">
      <c r="B14" t="inlineStr">
        <is>
          <t>Housing (Rent/Mortgage)</t>
        </is>
      </c>
      <c r="C14" s="19" t="n">
        <v>0</v>
      </c>
    </row>
    <row r="15">
      <c r="B15" t="inlineStr">
        <is>
          <t>Utilities</t>
        </is>
      </c>
      <c r="C15" s="19" t="n">
        <v>0</v>
      </c>
    </row>
    <row r="16">
      <c r="B16" t="inlineStr">
        <is>
          <t>Food &amp; Groceries</t>
        </is>
      </c>
      <c r="C16" s="19" t="n">
        <v>0</v>
      </c>
    </row>
    <row r="17">
      <c r="B17" t="inlineStr">
        <is>
          <t>Transportation</t>
        </is>
      </c>
      <c r="C17" s="19" t="n">
        <v>0</v>
      </c>
    </row>
    <row r="18">
      <c r="B18" t="inlineStr">
        <is>
          <t>Insurance</t>
        </is>
      </c>
      <c r="C18" s="19" t="n">
        <v>0</v>
      </c>
    </row>
    <row r="19">
      <c r="B19" t="inlineStr">
        <is>
          <t>Healthcare</t>
        </is>
      </c>
      <c r="C19" s="19" t="n">
        <v>0</v>
      </c>
    </row>
    <row r="20">
      <c r="B20" t="inlineStr">
        <is>
          <t>Childcare/Education</t>
        </is>
      </c>
      <c r="C20" s="19" t="n">
        <v>0</v>
      </c>
    </row>
    <row r="21">
      <c r="B21" t="inlineStr">
        <is>
          <t>Other Essential</t>
        </is>
      </c>
      <c r="C21" s="19" t="n">
        <v>0</v>
      </c>
    </row>
    <row r="22">
      <c r="B22" s="4" t="inlineStr">
        <is>
          <t>Total Essential Expenses</t>
        </is>
      </c>
      <c r="C22" s="21">
        <f>SUM(C14:C21)</f>
        <v/>
      </c>
    </row>
    <row r="24">
      <c r="B24" s="3" t="inlineStr">
        <is>
          <t>DEBT PAYMENT CAPACITY</t>
        </is>
      </c>
    </row>
    <row r="26">
      <c r="B26" s="4" t="inlineStr">
        <is>
          <t>Available After Essentials</t>
        </is>
      </c>
      <c r="C26" s="21">
        <f>C10-C22</f>
        <v/>
      </c>
    </row>
    <row r="27">
      <c r="B27" t="inlineStr">
        <is>
          <t>Emergency Buffer (Recommended 10%)</t>
        </is>
      </c>
      <c r="C27" s="19" t="n">
        <v>0</v>
      </c>
    </row>
    <row r="28">
      <c r="B28" s="4" t="inlineStr">
        <is>
          <t>Maximum Debt Payment Capacity</t>
        </is>
      </c>
      <c r="C28" s="21">
        <f>MAX(0,C26-C27)</f>
        <v/>
      </c>
    </row>
  </sheetData>
  <mergeCells count="2">
    <mergeCell ref="B2:F2"/>
    <mergeCell ref="B3:F3"/>
  </mergeCells>
  <conditionalFormatting sqref="F11">
    <cfRule type="expression" priority="1" dxfId="0">
      <formula>F9&gt;=0</formula>
    </cfRule>
    <cfRule type="expression" priority="2" dxfId="1">
      <formula>F9&lt;0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0" customWidth="1" min="3" max="3"/>
    <col width="16" customWidth="1" min="4" max="4"/>
    <col width="18" customWidth="1" min="5" max="5"/>
    <col width="16" customWidth="1" min="6" max="6"/>
    <col width="16" customWidth="1" min="7" max="7"/>
    <col width="18" customWidth="1" min="8" max="8"/>
  </cols>
  <sheetData>
    <row r="2">
      <c r="B2" s="9" t="inlineStr">
        <is>
          <t>PAYOFF ENGINE</t>
        </is>
      </c>
    </row>
    <row r="3">
      <c r="B3" s="16" t="inlineStr">
        <is>
          <t>This sheet calculates the optimal payment order based on your selected method</t>
        </is>
      </c>
    </row>
    <row r="5">
      <c r="B5" s="3" t="inlineStr">
        <is>
          <t>DEBT PRIORITY ORDER</t>
        </is>
      </c>
    </row>
    <row r="6">
      <c r="B6" s="4" t="inlineStr">
        <is>
          <t>Current Method:</t>
        </is>
      </c>
      <c r="C6" s="13">
        <f>Setup!C7</f>
        <v/>
      </c>
    </row>
    <row r="8">
      <c r="B8" s="11" t="inlineStr">
        <is>
          <t>Priority</t>
        </is>
      </c>
      <c r="C8" s="11" t="inlineStr">
        <is>
          <t>DebtID</t>
        </is>
      </c>
      <c r="D8" s="11" t="inlineStr">
        <is>
          <t>DebtName</t>
        </is>
      </c>
      <c r="E8" s="11" t="inlineStr">
        <is>
          <t>CurrentBalance</t>
        </is>
      </c>
      <c r="F8" s="11" t="inlineStr">
        <is>
          <t>InterestRate</t>
        </is>
      </c>
      <c r="G8" s="11" t="inlineStr">
        <is>
          <t>MinPayment</t>
        </is>
      </c>
      <c r="H8" s="11" t="inlineStr">
        <is>
          <t>SortKey</t>
        </is>
      </c>
    </row>
    <row r="9">
      <c r="B9" s="22" t="n">
        <v>1</v>
      </c>
      <c r="C9" s="22">
        <f>IFERROR(INDEX(tblDebts[DebtID],1),"")</f>
        <v/>
      </c>
      <c r="D9" s="22">
        <f>IFERROR(INDEX(tblDebts[DebtName],1),"")</f>
        <v/>
      </c>
      <c r="E9" s="23">
        <f>IFERROR(INDEX(tblDebts[CurrentBalance],1),"")</f>
        <v/>
      </c>
      <c r="F9" s="24">
        <f>IFERROR(INDEX(tblDebts[AnnualInterestRate],1),"")</f>
        <v/>
      </c>
      <c r="G9" s="23">
        <f>IFERROR(INDEX(tblDebts[MinimumPayment],1),"")</f>
        <v/>
      </c>
      <c r="H9" s="22">
        <f>IF($C$6="Snowball",E9,IF($C$6="Avalanche",-F9,IFERROR(INDEX(tblDebts[PaymentPriorityOverride],1),999)))</f>
        <v/>
      </c>
    </row>
    <row r="10">
      <c r="B10" s="22" t="n">
        <v>2</v>
      </c>
      <c r="C10" s="22">
        <f>IFERROR(INDEX(tblDebts[DebtID],2),"")</f>
        <v/>
      </c>
      <c r="D10" s="22">
        <f>IFERROR(INDEX(tblDebts[DebtName],2),"")</f>
        <v/>
      </c>
      <c r="E10" s="23">
        <f>IFERROR(INDEX(tblDebts[CurrentBalance],2),"")</f>
        <v/>
      </c>
      <c r="F10" s="24">
        <f>IFERROR(INDEX(tblDebts[AnnualInterestRate],2),"")</f>
        <v/>
      </c>
      <c r="G10" s="23">
        <f>IFERROR(INDEX(tblDebts[MinimumPayment],2),"")</f>
        <v/>
      </c>
      <c r="H10" s="22">
        <f>IF($C$6="Snowball",E10,IF($C$6="Avalanche",-F10,IFERROR(INDEX(tblDebts[PaymentPriorityOverride],2),999)))</f>
        <v/>
      </c>
    </row>
    <row r="11">
      <c r="B11" s="22" t="n">
        <v>3</v>
      </c>
      <c r="C11" s="22">
        <f>IFERROR(INDEX(tblDebts[DebtID],3),"")</f>
        <v/>
      </c>
      <c r="D11" s="22">
        <f>IFERROR(INDEX(tblDebts[DebtName],3),"")</f>
        <v/>
      </c>
      <c r="E11" s="23">
        <f>IFERROR(INDEX(tblDebts[CurrentBalance],3),"")</f>
        <v/>
      </c>
      <c r="F11" s="24">
        <f>IFERROR(INDEX(tblDebts[AnnualInterestRate],3),"")</f>
        <v/>
      </c>
      <c r="G11" s="23">
        <f>IFERROR(INDEX(tblDebts[MinimumPayment],3),"")</f>
        <v/>
      </c>
      <c r="H11" s="22">
        <f>IF($C$6="Snowball",E11,IF($C$6="Avalanche",-F11,IFERROR(INDEX(tblDebts[PaymentPriorityOverride],3),999)))</f>
        <v/>
      </c>
    </row>
    <row r="12">
      <c r="B12" s="22" t="n">
        <v>4</v>
      </c>
      <c r="C12" s="22">
        <f>IFERROR(INDEX(tblDebts[DebtID],4),"")</f>
        <v/>
      </c>
      <c r="D12" s="22">
        <f>IFERROR(INDEX(tblDebts[DebtName],4),"")</f>
        <v/>
      </c>
      <c r="E12" s="23">
        <f>IFERROR(INDEX(tblDebts[CurrentBalance],4),"")</f>
        <v/>
      </c>
      <c r="F12" s="24">
        <f>IFERROR(INDEX(tblDebts[AnnualInterestRate],4),"")</f>
        <v/>
      </c>
      <c r="G12" s="23">
        <f>IFERROR(INDEX(tblDebts[MinimumPayment],4),"")</f>
        <v/>
      </c>
      <c r="H12" s="22">
        <f>IF($C$6="Snowball",E12,IF($C$6="Avalanche",-F12,IFERROR(INDEX(tblDebts[PaymentPriorityOverride],4),999)))</f>
        <v/>
      </c>
    </row>
    <row r="13">
      <c r="B13" s="22" t="n">
        <v>5</v>
      </c>
      <c r="C13" s="22">
        <f>IFERROR(INDEX(tblDebts[DebtID],5),"")</f>
        <v/>
      </c>
      <c r="D13" s="22">
        <f>IFERROR(INDEX(tblDebts[DebtName],5),"")</f>
        <v/>
      </c>
      <c r="E13" s="23">
        <f>IFERROR(INDEX(tblDebts[CurrentBalance],5),"")</f>
        <v/>
      </c>
      <c r="F13" s="24">
        <f>IFERROR(INDEX(tblDebts[AnnualInterestRate],5),"")</f>
        <v/>
      </c>
      <c r="G13" s="23">
        <f>IFERROR(INDEX(tblDebts[MinimumPayment],5),"")</f>
        <v/>
      </c>
      <c r="H13" s="22">
        <f>IF($C$6="Snowball",E13,IF($C$6="Avalanche",-F13,IFERROR(INDEX(tblDebts[PaymentPriorityOverride],5),999)))</f>
        <v/>
      </c>
    </row>
    <row r="14">
      <c r="B14" s="22" t="n">
        <v>6</v>
      </c>
      <c r="C14" s="22">
        <f>IFERROR(INDEX(tblDebts[DebtID],6),"")</f>
        <v/>
      </c>
      <c r="D14" s="22">
        <f>IFERROR(INDEX(tblDebts[DebtName],6),"")</f>
        <v/>
      </c>
      <c r="E14" s="23">
        <f>IFERROR(INDEX(tblDebts[CurrentBalance],6),"")</f>
        <v/>
      </c>
      <c r="F14" s="24">
        <f>IFERROR(INDEX(tblDebts[AnnualInterestRate],6),"")</f>
        <v/>
      </c>
      <c r="G14" s="23">
        <f>IFERROR(INDEX(tblDebts[MinimumPayment],6),"")</f>
        <v/>
      </c>
      <c r="H14" s="22">
        <f>IF($C$6="Snowball",E14,IF($C$6="Avalanche",-F14,IFERROR(INDEX(tblDebts[PaymentPriorityOverride],6),999)))</f>
        <v/>
      </c>
    </row>
    <row r="15">
      <c r="B15" s="22" t="n">
        <v>7</v>
      </c>
      <c r="C15" s="22">
        <f>IFERROR(INDEX(tblDebts[DebtID],7),"")</f>
        <v/>
      </c>
      <c r="D15" s="22">
        <f>IFERROR(INDEX(tblDebts[DebtName],7),"")</f>
        <v/>
      </c>
      <c r="E15" s="23">
        <f>IFERROR(INDEX(tblDebts[CurrentBalance],7),"")</f>
        <v/>
      </c>
      <c r="F15" s="24">
        <f>IFERROR(INDEX(tblDebts[AnnualInterestRate],7),"")</f>
        <v/>
      </c>
      <c r="G15" s="23">
        <f>IFERROR(INDEX(tblDebts[MinimumPayment],7),"")</f>
        <v/>
      </c>
      <c r="H15" s="22">
        <f>IF($C$6="Snowball",E15,IF($C$6="Avalanche",-F15,IFERROR(INDEX(tblDebts[PaymentPriorityOverride],7),999)))</f>
        <v/>
      </c>
    </row>
    <row r="16">
      <c r="B16" s="22" t="n">
        <v>8</v>
      </c>
      <c r="C16" s="22">
        <f>IFERROR(INDEX(tblDebts[DebtID],8),"")</f>
        <v/>
      </c>
      <c r="D16" s="22">
        <f>IFERROR(INDEX(tblDebts[DebtName],8),"")</f>
        <v/>
      </c>
      <c r="E16" s="23">
        <f>IFERROR(INDEX(tblDebts[CurrentBalance],8),"")</f>
        <v/>
      </c>
      <c r="F16" s="24">
        <f>IFERROR(INDEX(tblDebts[AnnualInterestRate],8),"")</f>
        <v/>
      </c>
      <c r="G16" s="23">
        <f>IFERROR(INDEX(tblDebts[MinimumPayment],8),"")</f>
        <v/>
      </c>
      <c r="H16" s="22">
        <f>IF($C$6="Snowball",E16,IF($C$6="Avalanche",-F16,IFERROR(INDEX(tblDebts[PaymentPriorityOverride],8),999)))</f>
        <v/>
      </c>
    </row>
    <row r="17">
      <c r="B17" s="22" t="n">
        <v>9</v>
      </c>
      <c r="C17" s="22">
        <f>IFERROR(INDEX(tblDebts[DebtID],9),"")</f>
        <v/>
      </c>
      <c r="D17" s="22">
        <f>IFERROR(INDEX(tblDebts[DebtName],9),"")</f>
        <v/>
      </c>
      <c r="E17" s="23">
        <f>IFERROR(INDEX(tblDebts[CurrentBalance],9),"")</f>
        <v/>
      </c>
      <c r="F17" s="24">
        <f>IFERROR(INDEX(tblDebts[AnnualInterestRate],9),"")</f>
        <v/>
      </c>
      <c r="G17" s="23">
        <f>IFERROR(INDEX(tblDebts[MinimumPayment],9),"")</f>
        <v/>
      </c>
      <c r="H17" s="22">
        <f>IF($C$6="Snowball",E17,IF($C$6="Avalanche",-F17,IFERROR(INDEX(tblDebts[PaymentPriorityOverride],9),999)))</f>
        <v/>
      </c>
    </row>
    <row r="18">
      <c r="B18" s="22" t="n">
        <v>10</v>
      </c>
      <c r="C18" s="22">
        <f>IFERROR(INDEX(tblDebts[DebtID],10),"")</f>
        <v/>
      </c>
      <c r="D18" s="22">
        <f>IFERROR(INDEX(tblDebts[DebtName],10),"")</f>
        <v/>
      </c>
      <c r="E18" s="23">
        <f>IFERROR(INDEX(tblDebts[CurrentBalance],10),"")</f>
        <v/>
      </c>
      <c r="F18" s="24">
        <f>IFERROR(INDEX(tblDebts[AnnualInterestRate],10),"")</f>
        <v/>
      </c>
      <c r="G18" s="23">
        <f>IFERROR(INDEX(tblDebts[MinimumPayment],10),"")</f>
        <v/>
      </c>
      <c r="H18" s="22">
        <f>IF($C$6="Snowball",E18,IF($C$6="Avalanche",-F18,IFERROR(INDEX(tblDebts[PaymentPriorityOverride],10),999)))</f>
        <v/>
      </c>
    </row>
    <row r="21">
      <c r="B21" s="3" t="inlineStr">
        <is>
          <t>MONTHLY ALLOCATION RULES</t>
        </is>
      </c>
    </row>
    <row r="23">
      <c r="B23" t="inlineStr">
        <is>
          <t>1. Pay minimum on ALL included open debts</t>
        </is>
      </c>
    </row>
    <row r="24">
      <c r="B24" t="inlineStr">
        <is>
          <t>2. Apply remaining capacity to the 'focus debt' (top priority)</t>
        </is>
      </c>
    </row>
    <row r="25">
      <c r="B25" t="inlineStr">
        <is>
          <t>3. When focus debt reaches $0, roll its payment to next focus debt</t>
        </is>
      </c>
    </row>
    <row r="26">
      <c r="B26" t="inlineStr">
        <is>
          <t>4. Interest accrues monthly: Interest = Balance × (Annual Rate ÷ 12)</t>
        </is>
      </c>
    </row>
    <row r="27">
      <c r="B27" t="inlineStr">
        <is>
          <t>5. Payment covers interest first, then principal</t>
        </is>
      </c>
    </row>
    <row r="30">
      <c r="B30" s="3" t="inlineStr">
        <is>
          <t>KEY CALCULATIONS</t>
        </is>
      </c>
    </row>
    <row r="32">
      <c r="B32" s="4" t="inlineStr">
        <is>
          <t>Total Debt Balance</t>
        </is>
      </c>
      <c r="C32" s="21">
        <f>SUMIF(tblDebts[IsIncluded],"Yes",tblDebts[CurrentBalance])</f>
        <v/>
      </c>
    </row>
    <row r="33">
      <c r="B33" s="4" t="inlineStr">
        <is>
          <t>Total Minimum Required</t>
        </is>
      </c>
      <c r="C33" s="21">
        <f>SUMIF(tblDebts[IsIncluded],"Yes",tblDebts[MinimumPayment])</f>
        <v/>
      </c>
    </row>
    <row r="34">
      <c r="B34" s="4" t="inlineStr">
        <is>
          <t>Extra Payment Available</t>
        </is>
      </c>
      <c r="C34" s="21">
        <f>Setup!C8</f>
        <v/>
      </c>
    </row>
    <row r="35">
      <c r="B35" s="4" t="inlineStr">
        <is>
          <t>Total Monthly Payment</t>
        </is>
      </c>
      <c r="C35" s="21">
        <f>B29+B30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5F"/>
  <mergeCells count="7">
    <mergeCell ref="B26:H26"/>
    <mergeCell ref="B27:H27"/>
    <mergeCell ref="B24:H24"/>
    <mergeCell ref="B2:H2"/>
    <mergeCell ref="B25:H25"/>
    <mergeCell ref="B3:H3"/>
    <mergeCell ref="B23:H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K25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0" customWidth="1" min="3" max="3"/>
    <col width="18" customWidth="1" min="4" max="4"/>
    <col width="16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2" customWidth="1" min="11" max="11"/>
  </cols>
  <sheetData>
    <row r="2">
      <c r="B2" s="9" t="inlineStr">
        <is>
          <t>PAYOFF SCHEDULE</t>
        </is>
      </c>
    </row>
    <row r="3">
      <c r="B3" s="16" t="inlineStr">
        <is>
          <t>Month-by-month payment plan showing how your debts will be paid off</t>
        </is>
      </c>
    </row>
    <row r="5">
      <c r="B5" s="11" t="inlineStr">
        <is>
          <t>Month</t>
        </is>
      </c>
      <c r="C5" s="11" t="inlineStr">
        <is>
          <t>MonthNum</t>
        </is>
      </c>
      <c r="D5" s="11" t="inlineStr">
        <is>
          <t>DebtName</t>
        </is>
      </c>
      <c r="E5" s="11" t="inlineStr">
        <is>
          <t>StartBalance</t>
        </is>
      </c>
      <c r="F5" s="11" t="inlineStr">
        <is>
          <t>Interest</t>
        </is>
      </c>
      <c r="G5" s="11" t="inlineStr">
        <is>
          <t>Payment</t>
        </is>
      </c>
      <c r="H5" s="11" t="inlineStr">
        <is>
          <t>Principal</t>
        </is>
      </c>
      <c r="I5" s="11" t="inlineStr">
        <is>
          <t>EndBalance</t>
        </is>
      </c>
      <c r="J5" s="11" t="inlineStr">
        <is>
          <t>CumulativeInt</t>
        </is>
      </c>
      <c r="K5" s="11" t="inlineStr">
        <is>
          <t>PayoffFlag</t>
        </is>
      </c>
    </row>
    <row r="6">
      <c r="B6" s="12" t="inlineStr">
        <is>
          <t>Jan 2025</t>
        </is>
      </c>
      <c r="C6" s="12" t="n">
        <v>1</v>
      </c>
      <c r="D6" s="12" t="inlineStr">
        <is>
          <t>Credit Card A</t>
        </is>
      </c>
      <c r="E6" s="23" t="n">
        <v>4800</v>
      </c>
      <c r="F6" s="23" t="n">
        <v>79.98</v>
      </c>
      <c r="G6" s="23" t="n">
        <v>150</v>
      </c>
      <c r="H6" s="23" t="n">
        <v>70.02</v>
      </c>
      <c r="I6" s="23" t="n">
        <v>4729.98</v>
      </c>
      <c r="J6" s="23" t="n">
        <v>79.98</v>
      </c>
      <c r="K6" s="12" t="inlineStr"/>
    </row>
    <row r="7">
      <c r="B7" s="12" t="inlineStr">
        <is>
          <t>Feb 2025</t>
        </is>
      </c>
      <c r="C7" s="12" t="n">
        <v>2</v>
      </c>
      <c r="D7" s="12" t="inlineStr">
        <is>
          <t>Credit Card A</t>
        </is>
      </c>
      <c r="E7" s="23" t="n">
        <v>4729.98</v>
      </c>
      <c r="F7" s="23" t="n">
        <v>78.81999999999999</v>
      </c>
      <c r="G7" s="23" t="n">
        <v>150</v>
      </c>
      <c r="H7" s="23" t="n">
        <v>71.18000000000001</v>
      </c>
      <c r="I7" s="23" t="n">
        <v>4658.8</v>
      </c>
      <c r="J7" s="23" t="n">
        <v>158.8</v>
      </c>
      <c r="K7" s="12" t="inlineStr"/>
    </row>
    <row r="8">
      <c r="B8" s="12" t="inlineStr">
        <is>
          <t>Mar 2025</t>
        </is>
      </c>
      <c r="C8" s="12" t="n">
        <v>3</v>
      </c>
      <c r="D8" s="12" t="inlineStr">
        <is>
          <t>Credit Card A</t>
        </is>
      </c>
      <c r="E8" s="23" t="n">
        <v>4658.8</v>
      </c>
      <c r="F8" s="23" t="n">
        <v>77.63</v>
      </c>
      <c r="G8" s="23" t="n">
        <v>150</v>
      </c>
      <c r="H8" s="23" t="n">
        <v>72.37</v>
      </c>
      <c r="I8" s="23" t="n">
        <v>4586.43</v>
      </c>
      <c r="J8" s="23" t="n">
        <v>236.43</v>
      </c>
      <c r="K8" s="12" t="inlineStr"/>
    </row>
    <row r="9">
      <c r="B9" s="12" t="inlineStr">
        <is>
          <t>Jan 2025</t>
        </is>
      </c>
      <c r="C9" s="12" t="n">
        <v>1</v>
      </c>
      <c r="D9" s="12" t="inlineStr">
        <is>
          <t>Car Loan</t>
        </is>
      </c>
      <c r="E9" s="23" t="n">
        <v>12500</v>
      </c>
      <c r="F9" s="23" t="n">
        <v>72.70999999999999</v>
      </c>
      <c r="G9" s="23" t="n">
        <v>350</v>
      </c>
      <c r="H9" s="23" t="n">
        <v>277.29</v>
      </c>
      <c r="I9" s="23" t="n">
        <v>12222.71</v>
      </c>
      <c r="J9" s="23" t="n">
        <v>72.70999999999999</v>
      </c>
      <c r="K9" s="12" t="inlineStr"/>
    </row>
    <row r="10">
      <c r="B10" s="12" t="inlineStr">
        <is>
          <t>Feb 2025</t>
        </is>
      </c>
      <c r="C10" s="12" t="n">
        <v>2</v>
      </c>
      <c r="D10" s="12" t="inlineStr">
        <is>
          <t>Car Loan</t>
        </is>
      </c>
      <c r="E10" s="23" t="n">
        <v>12222.71</v>
      </c>
      <c r="F10" s="23" t="n">
        <v>71.09999999999999</v>
      </c>
      <c r="G10" s="23" t="n">
        <v>350</v>
      </c>
      <c r="H10" s="23" t="n">
        <v>278.9</v>
      </c>
      <c r="I10" s="23" t="n">
        <v>11943.81</v>
      </c>
      <c r="J10" s="23" t="n">
        <v>143.81</v>
      </c>
      <c r="K10" s="12" t="inlineStr"/>
    </row>
    <row r="11">
      <c r="B11" s="12" t="inlineStr">
        <is>
          <t>Mar 2025</t>
        </is>
      </c>
      <c r="C11" s="12" t="n">
        <v>3</v>
      </c>
      <c r="D11" s="12" t="inlineStr">
        <is>
          <t>Car Loan</t>
        </is>
      </c>
      <c r="E11" s="23" t="n">
        <v>11943.81</v>
      </c>
      <c r="F11" s="23" t="n">
        <v>69.47</v>
      </c>
      <c r="G11" s="23" t="n">
        <v>350</v>
      </c>
      <c r="H11" s="23" t="n">
        <v>280.53</v>
      </c>
      <c r="I11" s="23" t="n">
        <v>11663.28</v>
      </c>
      <c r="J11" s="23" t="n">
        <v>213.28</v>
      </c>
      <c r="K11" s="12" t="inlineStr"/>
    </row>
    <row r="14">
      <c r="B14" s="25" t="inlineStr">
        <is>
          <t>NOTE: This schedule uses simplified example data.</t>
        </is>
      </c>
    </row>
    <row r="15">
      <c r="B15" s="25" t="inlineStr">
        <is>
          <t>For full dynamic calculation, use SCAN() or iterative formulas in Microsoft 365.</t>
        </is>
      </c>
    </row>
    <row r="18">
      <c r="B18" s="3" t="inlineStr">
        <is>
          <t>PAYOFF SUMMARY BY DEBT</t>
        </is>
      </c>
    </row>
    <row r="20">
      <c r="B20" s="11" t="inlineStr">
        <is>
          <t>DebtName</t>
        </is>
      </c>
      <c r="C20" s="11" t="inlineStr">
        <is>
          <t>StartBalance</t>
        </is>
      </c>
      <c r="D20" s="11" t="inlineStr">
        <is>
          <t>TotalInterest</t>
        </is>
      </c>
      <c r="E20" s="11" t="inlineStr">
        <is>
          <t>TotalPaid</t>
        </is>
      </c>
      <c r="F20" s="11" t="inlineStr">
        <is>
          <t>PayoffMonth</t>
        </is>
      </c>
      <c r="G20" s="11" t="inlineStr">
        <is>
          <t>MonthsToPayoff</t>
        </is>
      </c>
    </row>
    <row r="21">
      <c r="B21" s="12" t="inlineStr">
        <is>
          <t>Credit Card B</t>
        </is>
      </c>
      <c r="C21" s="23" t="n">
        <v>2800</v>
      </c>
      <c r="D21" s="23" t="n">
        <v>892</v>
      </c>
      <c r="E21" s="23" t="n">
        <v>3692</v>
      </c>
      <c r="F21" s="12" t="inlineStr">
        <is>
          <t>Mar 2028</t>
        </is>
      </c>
      <c r="G21" s="12" t="n">
        <v>39</v>
      </c>
    </row>
    <row r="22">
      <c r="B22" s="12" t="inlineStr">
        <is>
          <t>Credit Card A</t>
        </is>
      </c>
      <c r="C22" s="23" t="n">
        <v>4800</v>
      </c>
      <c r="D22" s="23" t="n">
        <v>1856</v>
      </c>
      <c r="E22" s="23" t="n">
        <v>6656</v>
      </c>
      <c r="F22" s="12" t="inlineStr">
        <is>
          <t>Oct 2028</t>
        </is>
      </c>
      <c r="G22" s="12" t="n">
        <v>46</v>
      </c>
    </row>
    <row r="23">
      <c r="B23" s="12" t="inlineStr">
        <is>
          <t>Personal Loan</t>
        </is>
      </c>
      <c r="C23" s="23" t="n">
        <v>6500</v>
      </c>
      <c r="D23" s="23" t="n">
        <v>1243</v>
      </c>
      <c r="E23" s="23" t="n">
        <v>7743</v>
      </c>
      <c r="F23" s="12" t="inlineStr">
        <is>
          <t>Feb 2029</t>
        </is>
      </c>
      <c r="G23" s="12" t="n">
        <v>50</v>
      </c>
    </row>
    <row r="24">
      <c r="B24" s="12" t="inlineStr">
        <is>
          <t>Car Loan</t>
        </is>
      </c>
      <c r="C24" s="23" t="n">
        <v>12500</v>
      </c>
      <c r="D24" s="23" t="n">
        <v>2187</v>
      </c>
      <c r="E24" s="23" t="n">
        <v>14687</v>
      </c>
      <c r="F24" s="12" t="inlineStr">
        <is>
          <t>Aug 2029</t>
        </is>
      </c>
      <c r="G24" s="12" t="n">
        <v>56</v>
      </c>
    </row>
    <row r="25">
      <c r="B25" s="12" t="inlineStr">
        <is>
          <t>Student Loan</t>
        </is>
      </c>
      <c r="C25" s="23" t="n">
        <v>22000</v>
      </c>
      <c r="D25" s="23" t="n">
        <v>4892</v>
      </c>
      <c r="E25" s="23" t="n">
        <v>26892</v>
      </c>
      <c r="F25" s="12" t="inlineStr">
        <is>
          <t>Apr 2031</t>
        </is>
      </c>
      <c r="G25" s="12" t="n">
        <v>76</v>
      </c>
    </row>
  </sheetData>
  <mergeCells count="4">
    <mergeCell ref="B15:K15"/>
    <mergeCell ref="B3:K3"/>
    <mergeCell ref="B14:K14"/>
    <mergeCell ref="B2:K2"/>
  </mergeCells>
  <conditionalFormatting sqref="K6:K200">
    <cfRule type="expression" priority="1" dxfId="0">
      <formula>$K6="PAID"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0" customWidth="1" min="4" max="4"/>
    <col width="14" customWidth="1" min="5" max="5"/>
    <col width="14" customWidth="1" min="6" max="6"/>
    <col width="12" customWidth="1" min="7" max="7"/>
    <col width="30" customWidth="1" min="8" max="8"/>
  </cols>
  <sheetData>
    <row r="2">
      <c r="B2" s="9" t="inlineStr">
        <is>
          <t>ACTUAL PAYMENTS LOG</t>
        </is>
      </c>
    </row>
    <row r="3">
      <c r="B3" s="16" t="inlineStr">
        <is>
          <t>Track your actual payments to compare against the plan</t>
        </is>
      </c>
    </row>
    <row r="5">
      <c r="B5" s="11" t="inlineStr">
        <is>
          <t>Date</t>
        </is>
      </c>
      <c r="C5" s="11" t="inlineStr">
        <is>
          <t>DebtID</t>
        </is>
      </c>
      <c r="D5" s="11" t="inlineStr">
        <is>
          <t>DebtName</t>
        </is>
      </c>
      <c r="E5" s="11" t="inlineStr">
        <is>
          <t>AmountPaid</t>
        </is>
      </c>
      <c r="F5" s="11" t="inlineStr">
        <is>
          <t>FeesPaid</t>
        </is>
      </c>
      <c r="G5" s="11" t="inlineStr">
        <is>
          <t>IsExtra</t>
        </is>
      </c>
      <c r="H5" s="11" t="inlineStr">
        <is>
          <t>Notes</t>
        </is>
      </c>
      <c r="J5" s="3" t="inlineStr">
        <is>
          <t>PAYMENT SUMMARY</t>
        </is>
      </c>
    </row>
    <row r="6">
      <c r="B6" s="26" t="inlineStr">
        <is>
          <t>2025-01-15</t>
        </is>
      </c>
      <c r="C6" s="10" t="n">
        <v>1</v>
      </c>
      <c r="D6" s="10" t="inlineStr">
        <is>
          <t>Credit Card A</t>
        </is>
      </c>
      <c r="E6" s="19" t="n">
        <v>150</v>
      </c>
      <c r="F6" s="19" t="n">
        <v>0</v>
      </c>
      <c r="G6" s="10" t="inlineStr">
        <is>
          <t>No</t>
        </is>
      </c>
      <c r="H6" s="10" t="inlineStr">
        <is>
          <t>Minimum payment</t>
        </is>
      </c>
    </row>
    <row r="7">
      <c r="B7" s="26" t="inlineStr">
        <is>
          <t>2025-01-01</t>
        </is>
      </c>
      <c r="C7" s="10" t="n">
        <v>2</v>
      </c>
      <c r="D7" s="10" t="inlineStr">
        <is>
          <t>Car Loan</t>
        </is>
      </c>
      <c r="E7" s="19" t="n">
        <v>350</v>
      </c>
      <c r="F7" s="19" t="n">
        <v>0</v>
      </c>
      <c r="G7" s="10" t="inlineStr">
        <is>
          <t>No</t>
        </is>
      </c>
      <c r="H7" s="10" t="inlineStr"/>
      <c r="J7" s="4" t="inlineStr">
        <is>
          <t>Total Paid (All Time)</t>
        </is>
      </c>
      <c r="K7" s="21">
        <f>SUMIF(tblPaymentsActual[AmountPaid],"&gt;0")</f>
        <v/>
      </c>
    </row>
    <row r="8">
      <c r="B8" s="26" t="inlineStr">
        <is>
          <t>2025-01-20</t>
        </is>
      </c>
      <c r="C8" s="10" t="n">
        <v>3</v>
      </c>
      <c r="D8" s="10" t="inlineStr">
        <is>
          <t>Student Loan</t>
        </is>
      </c>
      <c r="E8" s="19" t="n">
        <v>250</v>
      </c>
      <c r="F8" s="19" t="n">
        <v>0</v>
      </c>
      <c r="G8" s="10" t="inlineStr">
        <is>
          <t>No</t>
        </is>
      </c>
      <c r="H8" s="10" t="inlineStr"/>
      <c r="J8" s="4" t="inlineStr">
        <is>
          <t>Total Fees Paid</t>
        </is>
      </c>
      <c r="K8" s="21">
        <f>SUM(tblPaymentsActual[FeesPaid])</f>
        <v/>
      </c>
    </row>
    <row r="9">
      <c r="B9" s="26" t="inlineStr">
        <is>
          <t>2025-01-10</t>
        </is>
      </c>
      <c r="C9" s="10" t="n">
        <v>4</v>
      </c>
      <c r="D9" s="10" t="inlineStr">
        <is>
          <t>Credit Card B</t>
        </is>
      </c>
      <c r="E9" s="19" t="n">
        <v>100</v>
      </c>
      <c r="F9" s="19" t="n">
        <v>0</v>
      </c>
      <c r="G9" s="10" t="inlineStr">
        <is>
          <t>Yes</t>
        </is>
      </c>
      <c r="H9" s="10" t="inlineStr">
        <is>
          <t>Extra $15</t>
        </is>
      </c>
      <c r="J9" s="4" t="inlineStr">
        <is>
          <t>Payments This Month</t>
        </is>
      </c>
      <c r="K9" s="21">
        <f>SUMIFS(tblPaymentsActual[AmountPaid],tblPaymentsActual[Date],"&gt;="&amp;DATE(YEAR(TODAY()),MONTH(TODAY()),1))</f>
        <v/>
      </c>
    </row>
    <row r="10">
      <c r="B10" s="26" t="inlineStr">
        <is>
          <t>2025-01-05</t>
        </is>
      </c>
      <c r="C10" s="10" t="n">
        <v>5</v>
      </c>
      <c r="D10" s="10" t="inlineStr">
        <is>
          <t>Personal Loan</t>
        </is>
      </c>
      <c r="E10" s="19" t="n">
        <v>200</v>
      </c>
      <c r="F10" s="19" t="n">
        <v>0</v>
      </c>
      <c r="G10" s="10" t="inlineStr">
        <is>
          <t>No</t>
        </is>
      </c>
      <c r="H10" s="10" t="inlineStr"/>
      <c r="J10" s="4" t="inlineStr">
        <is>
          <t>Extra Payments Made</t>
        </is>
      </c>
      <c r="K10" s="21">
        <f>SUMIF(tblPaymentsActual[IsExtra],"Yes",tblPaymentsActual[AmountPaid])</f>
        <v/>
      </c>
    </row>
    <row r="11"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</row>
    <row r="19"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</row>
    <row r="20"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</row>
    <row r="22"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</row>
    <row r="26"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</row>
    <row r="27"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</row>
    <row r="28"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</row>
    <row r="29"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</row>
    <row r="30"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</row>
    <row r="32"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</row>
    <row r="34"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</row>
    <row r="42"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</row>
    <row r="43"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4"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</row>
    <row r="45"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</row>
    <row r="46"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</row>
    <row r="47"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</row>
    <row r="48">
      <c r="B48" s="10" t="inlineStr"/>
      <c r="C48" s="10" t="inlineStr"/>
      <c r="D48" s="10" t="inlineStr"/>
      <c r="E48" s="10" t="inlineStr"/>
      <c r="F48" s="10" t="inlineStr"/>
      <c r="G48" s="10" t="inlineStr"/>
      <c r="H48" s="10" t="inlineStr"/>
    </row>
    <row r="49">
      <c r="B49" s="10" t="inlineStr"/>
      <c r="C49" s="10" t="inlineStr"/>
      <c r="D49" s="10" t="inlineStr"/>
      <c r="E49" s="10" t="inlineStr"/>
      <c r="F49" s="10" t="inlineStr"/>
      <c r="G49" s="10" t="inlineStr"/>
      <c r="H49" s="10" t="inlineStr"/>
    </row>
    <row r="50">
      <c r="B50" s="10" t="inlineStr"/>
      <c r="C50" s="10" t="inlineStr"/>
      <c r="D50" s="10" t="inlineStr"/>
      <c r="E50" s="10" t="inlineStr"/>
      <c r="F50" s="10" t="inlineStr"/>
      <c r="G50" s="10" t="inlineStr"/>
      <c r="H50" s="10" t="inlineStr"/>
    </row>
    <row r="51">
      <c r="B51" s="10" t="inlineStr"/>
      <c r="C51" s="10" t="inlineStr"/>
      <c r="D51" s="10" t="inlineStr"/>
      <c r="E51" s="10" t="inlineStr"/>
      <c r="F51" s="10" t="inlineStr"/>
      <c r="G51" s="10" t="inlineStr"/>
      <c r="H51" s="10" t="inlineStr"/>
    </row>
    <row r="52">
      <c r="B52" s="10" t="inlineStr"/>
      <c r="C52" s="10" t="inlineStr"/>
      <c r="D52" s="10" t="inlineStr"/>
      <c r="E52" s="10" t="inlineStr"/>
      <c r="F52" s="10" t="inlineStr"/>
      <c r="G52" s="10" t="inlineStr"/>
      <c r="H52" s="10" t="inlineStr"/>
    </row>
    <row r="53">
      <c r="B53" s="10" t="inlineStr"/>
      <c r="C53" s="10" t="inlineStr"/>
      <c r="D53" s="10" t="inlineStr"/>
      <c r="E53" s="10" t="inlineStr"/>
      <c r="F53" s="10" t="inlineStr"/>
      <c r="G53" s="10" t="inlineStr"/>
      <c r="H53" s="10" t="inlineStr"/>
    </row>
    <row r="54">
      <c r="B54" s="10" t="inlineStr"/>
      <c r="C54" s="10" t="inlineStr"/>
      <c r="D54" s="10" t="inlineStr"/>
      <c r="E54" s="10" t="inlineStr"/>
      <c r="F54" s="10" t="inlineStr"/>
      <c r="G54" s="10" t="inlineStr"/>
      <c r="H54" s="10" t="inlineStr"/>
    </row>
    <row r="55">
      <c r="B55" s="10" t="inlineStr"/>
      <c r="C55" s="10" t="inlineStr"/>
      <c r="D55" s="10" t="inlineStr"/>
      <c r="E55" s="10" t="inlineStr"/>
      <c r="F55" s="10" t="inlineStr"/>
      <c r="G55" s="10" t="inlineStr"/>
      <c r="H55" s="10" t="inlineStr"/>
    </row>
    <row r="56">
      <c r="B56" s="10" t="inlineStr"/>
      <c r="C56" s="10" t="inlineStr"/>
      <c r="D56" s="10" t="inlineStr"/>
      <c r="E56" s="10" t="inlineStr"/>
      <c r="F56" s="10" t="inlineStr"/>
      <c r="G56" s="10" t="inlineStr"/>
      <c r="H56" s="10" t="inlineStr"/>
    </row>
    <row r="57">
      <c r="B57" s="10" t="inlineStr"/>
      <c r="C57" s="10" t="inlineStr"/>
      <c r="D57" s="10" t="inlineStr"/>
      <c r="E57" s="10" t="inlineStr"/>
      <c r="F57" s="10" t="inlineStr"/>
      <c r="G57" s="10" t="inlineStr"/>
      <c r="H57" s="10" t="inlineStr"/>
    </row>
    <row r="58">
      <c r="B58" s="10" t="inlineStr"/>
      <c r="C58" s="10" t="inlineStr"/>
      <c r="D58" s="10" t="inlineStr"/>
      <c r="E58" s="10" t="inlineStr"/>
      <c r="F58" s="10" t="inlineStr"/>
      <c r="G58" s="10" t="inlineStr"/>
      <c r="H58" s="10" t="inlineStr"/>
    </row>
    <row r="59">
      <c r="B59" s="10" t="inlineStr"/>
      <c r="C59" s="10" t="inlineStr"/>
      <c r="D59" s="10" t="inlineStr"/>
      <c r="E59" s="10" t="inlineStr"/>
      <c r="F59" s="10" t="inlineStr"/>
      <c r="G59" s="10" t="inlineStr"/>
      <c r="H59" s="10" t="inlineStr"/>
    </row>
    <row r="60">
      <c r="B60" s="10" t="inlineStr"/>
      <c r="C60" s="10" t="inlineStr"/>
      <c r="D60" s="10" t="inlineStr"/>
      <c r="E60" s="10" t="inlineStr"/>
      <c r="F60" s="10" t="inlineStr"/>
      <c r="G60" s="10" t="inlineStr"/>
      <c r="H60" s="10" t="inlineStr"/>
    </row>
    <row r="61">
      <c r="B61" s="10" t="inlineStr"/>
      <c r="C61" s="10" t="inlineStr"/>
      <c r="D61" s="10" t="inlineStr"/>
      <c r="E61" s="10" t="inlineStr"/>
      <c r="F61" s="10" t="inlineStr"/>
      <c r="G61" s="10" t="inlineStr"/>
      <c r="H61" s="10" t="inlineStr"/>
    </row>
    <row r="62">
      <c r="B62" s="10" t="inlineStr"/>
      <c r="C62" s="10" t="inlineStr"/>
      <c r="D62" s="10" t="inlineStr"/>
      <c r="E62" s="10" t="inlineStr"/>
      <c r="F62" s="10" t="inlineStr"/>
      <c r="G62" s="10" t="inlineStr"/>
      <c r="H62" s="10" t="inlineStr"/>
    </row>
    <row r="63">
      <c r="B63" s="10" t="inlineStr"/>
      <c r="C63" s="10" t="inlineStr"/>
      <c r="D63" s="10" t="inlineStr"/>
      <c r="E63" s="10" t="inlineStr"/>
      <c r="F63" s="10" t="inlineStr"/>
      <c r="G63" s="10" t="inlineStr"/>
      <c r="H63" s="10" t="inlineStr"/>
    </row>
    <row r="64">
      <c r="B64" s="10" t="inlineStr"/>
      <c r="C64" s="10" t="inlineStr"/>
      <c r="D64" s="10" t="inlineStr"/>
      <c r="E64" s="10" t="inlineStr"/>
      <c r="F64" s="10" t="inlineStr"/>
      <c r="G64" s="10" t="inlineStr"/>
      <c r="H64" s="10" t="inlineStr"/>
    </row>
    <row r="65">
      <c r="B65" s="10" t="inlineStr"/>
      <c r="C65" s="10" t="inlineStr"/>
      <c r="D65" s="10" t="inlineStr"/>
      <c r="E65" s="10" t="inlineStr"/>
      <c r="F65" s="10" t="inlineStr"/>
      <c r="G65" s="10" t="inlineStr"/>
      <c r="H65" s="10" t="inlineStr"/>
    </row>
    <row r="66">
      <c r="B66" s="10" t="inlineStr"/>
      <c r="C66" s="10" t="inlineStr"/>
      <c r="D66" s="10" t="inlineStr"/>
      <c r="E66" s="10" t="inlineStr"/>
      <c r="F66" s="10" t="inlineStr"/>
      <c r="G66" s="10" t="inlineStr"/>
      <c r="H66" s="10" t="inlineStr"/>
    </row>
    <row r="67">
      <c r="B67" s="10" t="inlineStr"/>
      <c r="C67" s="10" t="inlineStr"/>
      <c r="D67" s="10" t="inlineStr"/>
      <c r="E67" s="10" t="inlineStr"/>
      <c r="F67" s="10" t="inlineStr"/>
      <c r="G67" s="10" t="inlineStr"/>
      <c r="H67" s="10" t="inlineStr"/>
    </row>
    <row r="68">
      <c r="B68" s="10" t="inlineStr"/>
      <c r="C68" s="10" t="inlineStr"/>
      <c r="D68" s="10" t="inlineStr"/>
      <c r="E68" s="10" t="inlineStr"/>
      <c r="F68" s="10" t="inlineStr"/>
      <c r="G68" s="10" t="inlineStr"/>
      <c r="H68" s="10" t="inlineStr"/>
    </row>
    <row r="69">
      <c r="B69" s="10" t="inlineStr"/>
      <c r="C69" s="10" t="inlineStr"/>
      <c r="D69" s="10" t="inlineStr"/>
      <c r="E69" s="10" t="inlineStr"/>
      <c r="F69" s="10" t="inlineStr"/>
      <c r="G69" s="10" t="inlineStr"/>
      <c r="H69" s="10" t="inlineStr"/>
    </row>
    <row r="70">
      <c r="B70" s="10" t="inlineStr"/>
      <c r="C70" s="10" t="inlineStr"/>
      <c r="D70" s="10" t="inlineStr"/>
      <c r="E70" s="10" t="inlineStr"/>
      <c r="F70" s="10" t="inlineStr"/>
      <c r="G70" s="10" t="inlineStr"/>
      <c r="H70" s="10" t="inlineStr"/>
    </row>
    <row r="71">
      <c r="B71" s="10" t="inlineStr"/>
      <c r="C71" s="10" t="inlineStr"/>
      <c r="D71" s="10" t="inlineStr"/>
      <c r="E71" s="10" t="inlineStr"/>
      <c r="F71" s="10" t="inlineStr"/>
      <c r="G71" s="10" t="inlineStr"/>
      <c r="H71" s="10" t="inlineStr"/>
    </row>
    <row r="72">
      <c r="B72" s="10" t="inlineStr"/>
      <c r="C72" s="10" t="inlineStr"/>
      <c r="D72" s="10" t="inlineStr"/>
      <c r="E72" s="10" t="inlineStr"/>
      <c r="F72" s="10" t="inlineStr"/>
      <c r="G72" s="10" t="inlineStr"/>
      <c r="H72" s="10" t="inlineStr"/>
    </row>
    <row r="73">
      <c r="B73" s="10" t="inlineStr"/>
      <c r="C73" s="10" t="inlineStr"/>
      <c r="D73" s="10" t="inlineStr"/>
      <c r="E73" s="10" t="inlineStr"/>
      <c r="F73" s="10" t="inlineStr"/>
      <c r="G73" s="10" t="inlineStr"/>
      <c r="H73" s="10" t="inlineStr"/>
    </row>
    <row r="74">
      <c r="B74" s="10" t="inlineStr"/>
      <c r="C74" s="10" t="inlineStr"/>
      <c r="D74" s="10" t="inlineStr"/>
      <c r="E74" s="10" t="inlineStr"/>
      <c r="F74" s="10" t="inlineStr"/>
      <c r="G74" s="10" t="inlineStr"/>
      <c r="H74" s="10" t="inlineStr"/>
    </row>
    <row r="75">
      <c r="B75" s="10" t="inlineStr"/>
      <c r="C75" s="10" t="inlineStr"/>
      <c r="D75" s="10" t="inlineStr"/>
      <c r="E75" s="10" t="inlineStr"/>
      <c r="F75" s="10" t="inlineStr"/>
      <c r="G75" s="10" t="inlineStr"/>
      <c r="H75" s="10" t="inlineStr"/>
    </row>
    <row r="76">
      <c r="B76" s="10" t="inlineStr"/>
      <c r="C76" s="10" t="inlineStr"/>
      <c r="D76" s="10" t="inlineStr"/>
      <c r="E76" s="10" t="inlineStr"/>
      <c r="F76" s="10" t="inlineStr"/>
      <c r="G76" s="10" t="inlineStr"/>
      <c r="H76" s="10" t="inlineStr"/>
    </row>
    <row r="77">
      <c r="B77" s="10" t="inlineStr"/>
      <c r="C77" s="10" t="inlineStr"/>
      <c r="D77" s="10" t="inlineStr"/>
      <c r="E77" s="10" t="inlineStr"/>
      <c r="F77" s="10" t="inlineStr"/>
      <c r="G77" s="10" t="inlineStr"/>
      <c r="H77" s="10" t="inlineStr"/>
    </row>
    <row r="78">
      <c r="B78" s="10" t="inlineStr"/>
      <c r="C78" s="10" t="inlineStr"/>
      <c r="D78" s="10" t="inlineStr"/>
      <c r="E78" s="10" t="inlineStr"/>
      <c r="F78" s="10" t="inlineStr"/>
      <c r="G78" s="10" t="inlineStr"/>
      <c r="H78" s="10" t="inlineStr"/>
    </row>
    <row r="79">
      <c r="B79" s="10" t="inlineStr"/>
      <c r="C79" s="10" t="inlineStr"/>
      <c r="D79" s="10" t="inlineStr"/>
      <c r="E79" s="10" t="inlineStr"/>
      <c r="F79" s="10" t="inlineStr"/>
      <c r="G79" s="10" t="inlineStr"/>
      <c r="H79" s="10" t="inlineStr"/>
    </row>
    <row r="80">
      <c r="B80" s="10" t="inlineStr"/>
      <c r="C80" s="10" t="inlineStr"/>
      <c r="D80" s="10" t="inlineStr"/>
      <c r="E80" s="10" t="inlineStr"/>
      <c r="F80" s="10" t="inlineStr"/>
      <c r="G80" s="10" t="inlineStr"/>
      <c r="H80" s="10" t="inlineStr"/>
    </row>
    <row r="81">
      <c r="B81" s="10" t="inlineStr"/>
      <c r="C81" s="10" t="inlineStr"/>
      <c r="D81" s="10" t="inlineStr"/>
      <c r="E81" s="10" t="inlineStr"/>
      <c r="F81" s="10" t="inlineStr"/>
      <c r="G81" s="10" t="inlineStr"/>
      <c r="H81" s="10" t="inlineStr"/>
    </row>
    <row r="82">
      <c r="B82" s="10" t="inlineStr"/>
      <c r="C82" s="10" t="inlineStr"/>
      <c r="D82" s="10" t="inlineStr"/>
      <c r="E82" s="10" t="inlineStr"/>
      <c r="F82" s="10" t="inlineStr"/>
      <c r="G82" s="10" t="inlineStr"/>
      <c r="H82" s="10" t="inlineStr"/>
    </row>
    <row r="83">
      <c r="B83" s="10" t="inlineStr"/>
      <c r="C83" s="10" t="inlineStr"/>
      <c r="D83" s="10" t="inlineStr"/>
      <c r="E83" s="10" t="inlineStr"/>
      <c r="F83" s="10" t="inlineStr"/>
      <c r="G83" s="10" t="inlineStr"/>
      <c r="H83" s="10" t="inlineStr"/>
    </row>
    <row r="84">
      <c r="B84" s="10" t="inlineStr"/>
      <c r="C84" s="10" t="inlineStr"/>
      <c r="D84" s="10" t="inlineStr"/>
      <c r="E84" s="10" t="inlineStr"/>
      <c r="F84" s="10" t="inlineStr"/>
      <c r="G84" s="10" t="inlineStr"/>
      <c r="H84" s="10" t="inlineStr"/>
    </row>
    <row r="85">
      <c r="B85" s="10" t="inlineStr"/>
      <c r="C85" s="10" t="inlineStr"/>
      <c r="D85" s="10" t="inlineStr"/>
      <c r="E85" s="10" t="inlineStr"/>
      <c r="F85" s="10" t="inlineStr"/>
      <c r="G85" s="10" t="inlineStr"/>
      <c r="H85" s="10" t="inlineStr"/>
    </row>
    <row r="86">
      <c r="B86" s="10" t="inlineStr"/>
      <c r="C86" s="10" t="inlineStr"/>
      <c r="D86" s="10" t="inlineStr"/>
      <c r="E86" s="10" t="inlineStr"/>
      <c r="F86" s="10" t="inlineStr"/>
      <c r="G86" s="10" t="inlineStr"/>
      <c r="H86" s="10" t="inlineStr"/>
    </row>
    <row r="87">
      <c r="B87" s="10" t="inlineStr"/>
      <c r="C87" s="10" t="inlineStr"/>
      <c r="D87" s="10" t="inlineStr"/>
      <c r="E87" s="10" t="inlineStr"/>
      <c r="F87" s="10" t="inlineStr"/>
      <c r="G87" s="10" t="inlineStr"/>
      <c r="H87" s="10" t="inlineStr"/>
    </row>
    <row r="88">
      <c r="B88" s="10" t="inlineStr"/>
      <c r="C88" s="10" t="inlineStr"/>
      <c r="D88" s="10" t="inlineStr"/>
      <c r="E88" s="10" t="inlineStr"/>
      <c r="F88" s="10" t="inlineStr"/>
      <c r="G88" s="10" t="inlineStr"/>
      <c r="H88" s="10" t="inlineStr"/>
    </row>
    <row r="89">
      <c r="B89" s="10" t="inlineStr"/>
      <c r="C89" s="10" t="inlineStr"/>
      <c r="D89" s="10" t="inlineStr"/>
      <c r="E89" s="10" t="inlineStr"/>
      <c r="F89" s="10" t="inlineStr"/>
      <c r="G89" s="10" t="inlineStr"/>
      <c r="H89" s="10" t="inlineStr"/>
    </row>
    <row r="90">
      <c r="B90" s="10" t="inlineStr"/>
      <c r="C90" s="10" t="inlineStr"/>
      <c r="D90" s="10" t="inlineStr"/>
      <c r="E90" s="10" t="inlineStr"/>
      <c r="F90" s="10" t="inlineStr"/>
      <c r="G90" s="10" t="inlineStr"/>
      <c r="H90" s="10" t="inlineStr"/>
    </row>
    <row r="91">
      <c r="B91" s="10" t="inlineStr"/>
      <c r="C91" s="10" t="inlineStr"/>
      <c r="D91" s="10" t="inlineStr"/>
      <c r="E91" s="10" t="inlineStr"/>
      <c r="F91" s="10" t="inlineStr"/>
      <c r="G91" s="10" t="inlineStr"/>
      <c r="H91" s="10" t="inlineStr"/>
    </row>
    <row r="92">
      <c r="B92" s="10" t="inlineStr"/>
      <c r="C92" s="10" t="inlineStr"/>
      <c r="D92" s="10" t="inlineStr"/>
      <c r="E92" s="10" t="inlineStr"/>
      <c r="F92" s="10" t="inlineStr"/>
      <c r="G92" s="10" t="inlineStr"/>
      <c r="H92" s="10" t="inlineStr"/>
    </row>
    <row r="93">
      <c r="B93" s="10" t="inlineStr"/>
      <c r="C93" s="10" t="inlineStr"/>
      <c r="D93" s="10" t="inlineStr"/>
      <c r="E93" s="10" t="inlineStr"/>
      <c r="F93" s="10" t="inlineStr"/>
      <c r="G93" s="10" t="inlineStr"/>
      <c r="H93" s="10" t="inlineStr"/>
    </row>
    <row r="94">
      <c r="B94" s="10" t="inlineStr"/>
      <c r="C94" s="10" t="inlineStr"/>
      <c r="D94" s="10" t="inlineStr"/>
      <c r="E94" s="10" t="inlineStr"/>
      <c r="F94" s="10" t="inlineStr"/>
      <c r="G94" s="10" t="inlineStr"/>
      <c r="H94" s="10" t="inlineStr"/>
    </row>
    <row r="95">
      <c r="B95" s="10" t="inlineStr"/>
      <c r="C95" s="10" t="inlineStr"/>
      <c r="D95" s="10" t="inlineStr"/>
      <c r="E95" s="10" t="inlineStr"/>
      <c r="F95" s="10" t="inlineStr"/>
      <c r="G95" s="10" t="inlineStr"/>
      <c r="H95" s="10" t="inlineStr"/>
    </row>
    <row r="96">
      <c r="B96" s="10" t="inlineStr"/>
      <c r="C96" s="10" t="inlineStr"/>
      <c r="D96" s="10" t="inlineStr"/>
      <c r="E96" s="10" t="inlineStr"/>
      <c r="F96" s="10" t="inlineStr"/>
      <c r="G96" s="10" t="inlineStr"/>
      <c r="H96" s="10" t="inlineStr"/>
    </row>
    <row r="97">
      <c r="B97" s="10" t="inlineStr"/>
      <c r="C97" s="10" t="inlineStr"/>
      <c r="D97" s="10" t="inlineStr"/>
      <c r="E97" s="10" t="inlineStr"/>
      <c r="F97" s="10" t="inlineStr"/>
      <c r="G97" s="10" t="inlineStr"/>
      <c r="H97" s="10" t="inlineStr"/>
    </row>
    <row r="98">
      <c r="B98" s="10" t="inlineStr"/>
      <c r="C98" s="10" t="inlineStr"/>
      <c r="D98" s="10" t="inlineStr"/>
      <c r="E98" s="10" t="inlineStr"/>
      <c r="F98" s="10" t="inlineStr"/>
      <c r="G98" s="10" t="inlineStr"/>
      <c r="H98" s="10" t="inlineStr"/>
    </row>
    <row r="99">
      <c r="B99" s="10" t="inlineStr"/>
      <c r="C99" s="10" t="inlineStr"/>
      <c r="D99" s="10" t="inlineStr"/>
      <c r="E99" s="10" t="inlineStr"/>
      <c r="F99" s="10" t="inlineStr"/>
      <c r="G99" s="10" t="inlineStr"/>
      <c r="H99" s="10" t="inlineStr"/>
    </row>
    <row r="100">
      <c r="B100" s="10" t="inlineStr"/>
      <c r="C100" s="10" t="inlineStr"/>
      <c r="D100" s="10" t="inlineStr"/>
      <c r="E100" s="10" t="inlineStr"/>
      <c r="F100" s="10" t="inlineStr"/>
      <c r="G100" s="10" t="inlineStr"/>
      <c r="H100" s="10" t="inlineStr"/>
    </row>
    <row r="101">
      <c r="B101" s="10" t="inlineStr"/>
      <c r="C101" s="10" t="inlineStr"/>
      <c r="D101" s="10" t="inlineStr"/>
      <c r="E101" s="10" t="inlineStr"/>
      <c r="F101" s="10" t="inlineStr"/>
      <c r="G101" s="10" t="inlineStr"/>
      <c r="H101" s="10" t="inlineStr"/>
    </row>
    <row r="102">
      <c r="B102" s="10" t="inlineStr"/>
      <c r="C102" s="10" t="inlineStr"/>
      <c r="D102" s="10" t="inlineStr"/>
      <c r="E102" s="10" t="inlineStr"/>
      <c r="F102" s="10" t="inlineStr"/>
      <c r="G102" s="10" t="inlineStr"/>
      <c r="H102" s="10" t="inlineStr"/>
    </row>
    <row r="103">
      <c r="B103" s="10" t="inlineStr"/>
      <c r="C103" s="10" t="inlineStr"/>
      <c r="D103" s="10" t="inlineStr"/>
      <c r="E103" s="10" t="inlineStr"/>
      <c r="F103" s="10" t="inlineStr"/>
      <c r="G103" s="10" t="inlineStr"/>
      <c r="H103" s="10" t="inlineStr"/>
    </row>
    <row r="104">
      <c r="B104" s="10" t="inlineStr"/>
      <c r="C104" s="10" t="inlineStr"/>
      <c r="D104" s="10" t="inlineStr"/>
      <c r="E104" s="10" t="inlineStr"/>
      <c r="F104" s="10" t="inlineStr"/>
      <c r="G104" s="10" t="inlineStr"/>
      <c r="H104" s="10" t="inlineStr"/>
    </row>
    <row r="105">
      <c r="B105" s="10" t="inlineStr"/>
      <c r="C105" s="10" t="inlineStr"/>
      <c r="D105" s="10" t="inlineStr"/>
      <c r="E105" s="10" t="inlineStr"/>
      <c r="F105" s="10" t="inlineStr"/>
      <c r="G105" s="10" t="inlineStr"/>
      <c r="H105" s="10" t="inlineStr"/>
    </row>
  </sheetData>
  <mergeCells count="2">
    <mergeCell ref="B3:H3"/>
    <mergeCell ref="B2:H2"/>
  </mergeCells>
  <dataValidations count="1">
    <dataValidation sqref="G6:G105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I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5" customWidth="1" min="4" max="4"/>
    <col width="25" customWidth="1" min="5" max="5"/>
    <col width="18" customWidth="1" min="6" max="6"/>
    <col width="5" customWidth="1" min="7" max="7"/>
    <col width="25" customWidth="1" min="8" max="8"/>
    <col width="18" customWidth="1" min="9" max="9"/>
  </cols>
  <sheetData>
    <row r="2">
      <c r="B2" s="9" t="inlineStr">
        <is>
          <t>DEBT PAYOFF DASHBOARD</t>
        </is>
      </c>
    </row>
    <row r="4">
      <c r="B4" s="11" t="inlineStr">
        <is>
          <t>Total Debt Remaining</t>
        </is>
      </c>
      <c r="C4" s="27" t="n"/>
      <c r="E4" s="11" t="inlineStr">
        <is>
          <t>Monthly Payment</t>
        </is>
      </c>
      <c r="F4" s="27" t="n"/>
      <c r="H4" s="11" t="inlineStr">
        <is>
          <t>Active Debts</t>
        </is>
      </c>
      <c r="I4" s="27" t="n"/>
    </row>
    <row r="5">
      <c r="B5" s="28">
        <f>SUMIF(tblDebts[IsIncluded],"Yes",tblDebts[CurrentBalance])</f>
        <v/>
      </c>
      <c r="C5" s="27" t="n"/>
      <c r="E5" s="28">
        <f>SUMIF(tblDebts[IsIncluded],"Yes",tblDebts[MinimumPayment])+Setup!C8</f>
        <v/>
      </c>
      <c r="F5" s="27" t="n"/>
      <c r="H5" s="29">
        <f>COUNTIFS(tblDebts[IsIncluded],"Yes",tblDebts[Status],"Open")</f>
        <v/>
      </c>
      <c r="I5" s="27" t="n"/>
    </row>
    <row r="7">
      <c r="B7" s="30" t="inlineStr">
        <is>
          <t>Highest Rate Debt</t>
        </is>
      </c>
      <c r="C7" s="27" t="n"/>
      <c r="E7" s="30" t="inlineStr">
        <is>
          <t>Avg Interest Rate</t>
        </is>
      </c>
      <c r="F7" s="27" t="n"/>
      <c r="H7" s="30" t="inlineStr">
        <is>
          <t>Total Paid to Date</t>
        </is>
      </c>
      <c r="I7" s="27" t="n"/>
    </row>
    <row r="8">
      <c r="B8" s="31">
        <f>INDEX(tblDebts[DebtName],MATCH(MAX(tblDebts[AnnualInterestRate]),tblDebts[AnnualInterestRate],0))</f>
        <v/>
      </c>
      <c r="C8" s="27" t="n"/>
      <c r="E8" s="32">
        <f>AVERAGEIF(tblDebts[IsIncluded],"Yes",tblDebts[AnnualInterestRate])</f>
        <v/>
      </c>
      <c r="F8" s="27" t="n"/>
      <c r="H8" s="33">
        <f>SUM(tblPaymentsActual[AmountPaid])</f>
        <v/>
      </c>
      <c r="I8" s="27" t="n"/>
    </row>
    <row r="11">
      <c r="B11" s="3" t="inlineStr">
        <is>
          <t>DEBT BREAKDOWN</t>
        </is>
      </c>
    </row>
    <row r="13">
      <c r="B13" s="11" t="inlineStr">
        <is>
          <t>Debt</t>
        </is>
      </c>
      <c r="C13" s="11" t="inlineStr">
        <is>
          <t>Balance</t>
        </is>
      </c>
      <c r="D13" s="11" t="inlineStr">
        <is>
          <t>Rate</t>
        </is>
      </c>
      <c r="E13" s="11" t="inlineStr">
        <is>
          <t>Min Payment</t>
        </is>
      </c>
      <c r="F13" s="11" t="inlineStr">
        <is>
          <t>% of Total</t>
        </is>
      </c>
    </row>
    <row r="14">
      <c r="B14" s="12">
        <f>IFERROR(INDEX(tblDebts[DebtName],1),"")</f>
        <v/>
      </c>
      <c r="C14" s="34">
        <f>IFERROR(INDEX(tblDebts[CurrentBalance],1),"")</f>
        <v/>
      </c>
      <c r="D14" s="35">
        <f>IFERROR(INDEX(tblDebts[AnnualInterestRate],1),"")</f>
        <v/>
      </c>
      <c r="E14" s="34">
        <f>IFERROR(INDEX(tblDebts[MinimumPayment],1),"")</f>
        <v/>
      </c>
      <c r="F14" s="35">
        <f>IFERROR(INDEX(tblDebts[CurrentBalance],1)/SUMIF(tblDebts[IsIncluded],"Yes",tblDebts[CurrentBalance]),"")</f>
        <v/>
      </c>
    </row>
    <row r="15">
      <c r="B15" s="12">
        <f>IFERROR(INDEX(tblDebts[DebtName],2),"")</f>
        <v/>
      </c>
      <c r="C15" s="34">
        <f>IFERROR(INDEX(tblDebts[CurrentBalance],2),"")</f>
        <v/>
      </c>
      <c r="D15" s="35">
        <f>IFERROR(INDEX(tblDebts[AnnualInterestRate],2),"")</f>
        <v/>
      </c>
      <c r="E15" s="34">
        <f>IFERROR(INDEX(tblDebts[MinimumPayment],2),"")</f>
        <v/>
      </c>
      <c r="F15" s="35">
        <f>IFERROR(INDEX(tblDebts[CurrentBalance],2)/SUMIF(tblDebts[IsIncluded],"Yes",tblDebts[CurrentBalance]),"")</f>
        <v/>
      </c>
    </row>
    <row r="16">
      <c r="B16" s="12">
        <f>IFERROR(INDEX(tblDebts[DebtName],3),"")</f>
        <v/>
      </c>
      <c r="C16" s="34">
        <f>IFERROR(INDEX(tblDebts[CurrentBalance],3),"")</f>
        <v/>
      </c>
      <c r="D16" s="35">
        <f>IFERROR(INDEX(tblDebts[AnnualInterestRate],3),"")</f>
        <v/>
      </c>
      <c r="E16" s="34">
        <f>IFERROR(INDEX(tblDebts[MinimumPayment],3),"")</f>
        <v/>
      </c>
      <c r="F16" s="35">
        <f>IFERROR(INDEX(tblDebts[CurrentBalance],3)/SUMIF(tblDebts[IsIncluded],"Yes",tblDebts[CurrentBalance]),"")</f>
        <v/>
      </c>
    </row>
    <row r="17">
      <c r="B17" s="12">
        <f>IFERROR(INDEX(tblDebts[DebtName],4),"")</f>
        <v/>
      </c>
      <c r="C17" s="34">
        <f>IFERROR(INDEX(tblDebts[CurrentBalance],4),"")</f>
        <v/>
      </c>
      <c r="D17" s="35">
        <f>IFERROR(INDEX(tblDebts[AnnualInterestRate],4),"")</f>
        <v/>
      </c>
      <c r="E17" s="34">
        <f>IFERROR(INDEX(tblDebts[MinimumPayment],4),"")</f>
        <v/>
      </c>
      <c r="F17" s="35">
        <f>IFERROR(INDEX(tblDebts[CurrentBalance],4)/SUMIF(tblDebts[IsIncluded],"Yes",tblDebts[CurrentBalance]),"")</f>
        <v/>
      </c>
    </row>
    <row r="18">
      <c r="B18" s="12">
        <f>IFERROR(INDEX(tblDebts[DebtName],5),"")</f>
        <v/>
      </c>
      <c r="C18" s="34">
        <f>IFERROR(INDEX(tblDebts[CurrentBalance],5),"")</f>
        <v/>
      </c>
      <c r="D18" s="35">
        <f>IFERROR(INDEX(tblDebts[AnnualInterestRate],5),"")</f>
        <v/>
      </c>
      <c r="E18" s="34">
        <f>IFERROR(INDEX(tblDebts[MinimumPayment],5),"")</f>
        <v/>
      </c>
      <c r="F18" s="35">
        <f>IFERROR(INDEX(tblDebts[CurrentBalance],5)/SUMIF(tblDebts[IsIncluded],"Yes",tblDebts[CurrentBalance]),"")</f>
        <v/>
      </c>
    </row>
    <row r="21">
      <c r="B21" s="3" t="inlineStr">
        <is>
          <t>PROGRESS TRACKING</t>
        </is>
      </c>
    </row>
    <row r="23">
      <c r="B23" s="4" t="inlineStr">
        <is>
          <t>Starting Total Debt</t>
        </is>
      </c>
      <c r="C23" s="21">
        <f>SUMIF(tblDebts[IsIncluded],"Yes",tblDebts[StartBalance])</f>
        <v/>
      </c>
    </row>
    <row r="24">
      <c r="B24" s="4" t="inlineStr">
        <is>
          <t>Current Total Debt</t>
        </is>
      </c>
      <c r="C24" s="21">
        <f>SUMIF(tblDebts[IsIncluded],"Yes",tblDebts[CurrentBalance])</f>
        <v/>
      </c>
    </row>
    <row r="25">
      <c r="B25" s="4" t="inlineStr">
        <is>
          <t>Amount Paid Off</t>
        </is>
      </c>
      <c r="C25" s="21">
        <f>B24-B25</f>
        <v/>
      </c>
    </row>
    <row r="26">
      <c r="B26" s="4" t="inlineStr">
        <is>
          <t>Progress %</t>
        </is>
      </c>
      <c r="C26" s="36">
        <f>IFERROR(B26/B24,0)</f>
        <v/>
      </c>
    </row>
  </sheetData>
  <mergeCells count="13">
    <mergeCell ref="E4:F4"/>
    <mergeCell ref="B7:C7"/>
    <mergeCell ref="E7:F7"/>
    <mergeCell ref="B5:C5"/>
    <mergeCell ref="B2:I2"/>
    <mergeCell ref="E8:F8"/>
    <mergeCell ref="H7:I7"/>
    <mergeCell ref="E5:F5"/>
    <mergeCell ref="H5:I5"/>
    <mergeCell ref="H4:I4"/>
    <mergeCell ref="H8:I8"/>
    <mergeCell ref="B8:C8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9" t="inlineStr">
        <is>
          <t>PAYMENT CALENDAR</t>
        </is>
      </c>
    </row>
    <row r="4">
      <c r="B4" s="4" t="inlineStr">
        <is>
          <t>Display Month:</t>
        </is>
      </c>
      <c r="C4" s="10" t="inlineStr">
        <is>
          <t>2025-12</t>
        </is>
      </c>
      <c r="E4" s="4" t="inlineStr">
        <is>
          <t>Week Starts:</t>
        </is>
      </c>
      <c r="F4" s="10" t="inlineStr">
        <is>
          <t>Monday</t>
        </is>
      </c>
    </row>
    <row r="6">
      <c r="B6" s="11" t="inlineStr">
        <is>
          <t>Mon</t>
        </is>
      </c>
      <c r="C6" s="11" t="inlineStr">
        <is>
          <t>Tue</t>
        </is>
      </c>
      <c r="D6" s="11" t="inlineStr">
        <is>
          <t>Wed</t>
        </is>
      </c>
      <c r="E6" s="11" t="inlineStr">
        <is>
          <t>Thu</t>
        </is>
      </c>
      <c r="F6" s="11" t="inlineStr">
        <is>
          <t>Fri</t>
        </is>
      </c>
      <c r="G6" s="11" t="inlineStr">
        <is>
          <t>Sat</t>
        </is>
      </c>
      <c r="H6" s="11" t="inlineStr">
        <is>
          <t>Sun</t>
        </is>
      </c>
    </row>
    <row r="7">
      <c r="B7" s="37" t="n">
        <v>1</v>
      </c>
      <c r="C7" s="37" t="n">
        <v>2</v>
      </c>
      <c r="D7" s="37" t="n">
        <v>3</v>
      </c>
      <c r="E7" s="37" t="n">
        <v>4</v>
      </c>
      <c r="F7" s="37" t="n">
        <v>5</v>
      </c>
      <c r="G7" s="37" t="n">
        <v>6</v>
      </c>
      <c r="H7" s="37" t="n">
        <v>7</v>
      </c>
    </row>
    <row r="8">
      <c r="B8" s="38" t="inlineStr">
        <is>
          <t>Car Loan: $350</t>
        </is>
      </c>
      <c r="C8" s="39" t="inlineStr"/>
      <c r="D8" s="39" t="inlineStr"/>
      <c r="E8" s="39" t="inlineStr"/>
      <c r="F8" s="38" t="inlineStr">
        <is>
          <t>Personal Loan: $200</t>
        </is>
      </c>
      <c r="G8" s="39" t="inlineStr"/>
      <c r="H8" s="39" t="inlineStr"/>
    </row>
    <row r="9">
      <c r="B9" s="12" t="inlineStr"/>
      <c r="C9" s="12" t="inlineStr"/>
      <c r="D9" s="12" t="inlineStr"/>
      <c r="E9" s="12" t="inlineStr"/>
      <c r="F9" s="12" t="inlineStr"/>
      <c r="G9" s="12" t="inlineStr"/>
      <c r="H9" s="12" t="inlineStr"/>
    </row>
    <row r="10">
      <c r="B10" s="37" t="n">
        <v>8</v>
      </c>
      <c r="C10" s="37" t="n">
        <v>9</v>
      </c>
      <c r="D10" s="37" t="n">
        <v>10</v>
      </c>
      <c r="E10" s="37" t="n">
        <v>11</v>
      </c>
      <c r="F10" s="37" t="n">
        <v>12</v>
      </c>
      <c r="G10" s="37" t="n">
        <v>13</v>
      </c>
      <c r="H10" s="37" t="n">
        <v>14</v>
      </c>
    </row>
    <row r="11">
      <c r="B11" s="39" t="inlineStr"/>
      <c r="C11" s="39" t="inlineStr"/>
      <c r="D11" s="38" t="inlineStr">
        <is>
          <t>Credit Card B: $85</t>
        </is>
      </c>
      <c r="E11" s="39" t="inlineStr"/>
      <c r="F11" s="39" t="inlineStr"/>
      <c r="G11" s="39" t="inlineStr"/>
      <c r="H11" s="39" t="inlineStr"/>
    </row>
    <row r="12">
      <c r="B12" s="12" t="inlineStr"/>
      <c r="C12" s="12" t="inlineStr"/>
      <c r="D12" s="12" t="inlineStr"/>
      <c r="E12" s="12" t="inlineStr"/>
      <c r="F12" s="12" t="inlineStr"/>
      <c r="G12" s="12" t="inlineStr"/>
      <c r="H12" s="12" t="inlineStr"/>
    </row>
    <row r="13">
      <c r="B13" s="37" t="n">
        <v>15</v>
      </c>
      <c r="C13" s="37" t="n">
        <v>16</v>
      </c>
      <c r="D13" s="37" t="n">
        <v>17</v>
      </c>
      <c r="E13" s="37" t="n">
        <v>18</v>
      </c>
      <c r="F13" s="37" t="n">
        <v>19</v>
      </c>
      <c r="G13" s="37" t="n">
        <v>20</v>
      </c>
      <c r="H13" s="37" t="n">
        <v>21</v>
      </c>
    </row>
    <row r="14">
      <c r="B14" s="38" t="inlineStr">
        <is>
          <t>Credit Card A: $150</t>
        </is>
      </c>
      <c r="C14" s="39" t="inlineStr"/>
      <c r="D14" s="39" t="inlineStr"/>
      <c r="E14" s="39" t="inlineStr"/>
      <c r="F14" s="39" t="inlineStr"/>
      <c r="G14" s="38" t="inlineStr">
        <is>
          <t>Student Loan: $250</t>
        </is>
      </c>
      <c r="H14" s="39" t="inlineStr"/>
    </row>
    <row r="15">
      <c r="B15" s="12" t="inlineStr"/>
      <c r="C15" s="12" t="inlineStr"/>
      <c r="D15" s="12" t="inlineStr"/>
      <c r="E15" s="12" t="inlineStr"/>
      <c r="F15" s="12" t="inlineStr"/>
      <c r="G15" s="12" t="inlineStr"/>
      <c r="H15" s="12" t="inlineStr"/>
    </row>
    <row r="16">
      <c r="B16" s="37" t="n">
        <v>22</v>
      </c>
      <c r="C16" s="37" t="n">
        <v>23</v>
      </c>
      <c r="D16" s="37" t="n">
        <v>24</v>
      </c>
      <c r="E16" s="37" t="n">
        <v>25</v>
      </c>
      <c r="F16" s="37" t="n">
        <v>26</v>
      </c>
      <c r="G16" s="37" t="n">
        <v>27</v>
      </c>
      <c r="H16" s="37" t="n">
        <v>28</v>
      </c>
    </row>
    <row r="17">
      <c r="B17" s="39" t="inlineStr"/>
      <c r="C17" s="39" t="inlineStr"/>
      <c r="D17" s="39" t="inlineStr"/>
      <c r="E17" s="39" t="inlineStr"/>
      <c r="F17" s="39" t="inlineStr"/>
      <c r="G17" s="39" t="inlineStr"/>
      <c r="H17" s="39" t="inlineStr"/>
    </row>
    <row r="18">
      <c r="B18" s="12" t="inlineStr"/>
      <c r="C18" s="12" t="inlineStr"/>
      <c r="D18" s="12" t="inlineStr"/>
      <c r="E18" s="12" t="inlineStr"/>
      <c r="F18" s="12" t="inlineStr"/>
      <c r="G18" s="12" t="inlineStr"/>
      <c r="H18" s="12" t="inlineStr"/>
    </row>
    <row r="19">
      <c r="B19" s="37" t="n">
        <v>29</v>
      </c>
      <c r="C19" s="37" t="n">
        <v>30</v>
      </c>
      <c r="D19" s="37" t="n">
        <v>31</v>
      </c>
      <c r="E19" s="37" t="inlineStr"/>
      <c r="F19" s="37" t="inlineStr"/>
      <c r="G19" s="37" t="inlineStr"/>
      <c r="H19" s="37" t="inlineStr"/>
    </row>
    <row r="20">
      <c r="B20" s="39" t="inlineStr"/>
      <c r="C20" s="39" t="inlineStr"/>
      <c r="D20" s="39" t="inlineStr"/>
      <c r="E20" s="39" t="inlineStr"/>
      <c r="F20" s="39" t="inlineStr"/>
      <c r="G20" s="39" t="inlineStr"/>
      <c r="H20" s="39" t="inlineStr"/>
    </row>
    <row r="21"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</row>
    <row r="22">
      <c r="B22" s="37" t="inlineStr"/>
      <c r="C22" s="37" t="inlineStr"/>
      <c r="D22" s="37" t="inlineStr"/>
      <c r="E22" s="37" t="inlineStr"/>
      <c r="F22" s="37" t="inlineStr"/>
      <c r="G22" s="37" t="inlineStr"/>
      <c r="H22" s="37" t="inlineStr"/>
    </row>
    <row r="23">
      <c r="B23" s="39" t="inlineStr"/>
      <c r="C23" s="39" t="inlineStr"/>
      <c r="D23" s="39" t="inlineStr"/>
      <c r="E23" s="39" t="inlineStr"/>
      <c r="F23" s="39" t="inlineStr"/>
      <c r="G23" s="39" t="inlineStr"/>
      <c r="H23" s="39" t="inlineStr"/>
    </row>
    <row r="24">
      <c r="B24" s="12" t="inlineStr"/>
      <c r="C24" s="12" t="inlineStr"/>
      <c r="D24" s="12" t="inlineStr"/>
      <c r="E24" s="12" t="inlineStr"/>
      <c r="F24" s="12" t="inlineStr"/>
      <c r="G24" s="12" t="inlineStr"/>
      <c r="H24" s="12" t="inlineStr"/>
    </row>
    <row r="25">
      <c r="B25" s="3" t="inlineStr">
        <is>
          <t>WEEKLY PAYMENT TOTALS</t>
        </is>
      </c>
      <c r="E25" s="3" t="inlineStr">
        <is>
          <t>NEXT 5 PAYMENTS</t>
        </is>
      </c>
    </row>
    <row r="27">
      <c r="B27" t="inlineStr">
        <is>
          <t>Week 1 (1st - 7th)</t>
        </is>
      </c>
      <c r="C27" t="inlineStr">
        <is>
          <t>$550</t>
        </is>
      </c>
      <c r="E27" s="11" t="inlineStr">
        <is>
          <t>Due Date</t>
        </is>
      </c>
      <c r="F27" s="11" t="inlineStr">
        <is>
          <t>Debt</t>
        </is>
      </c>
      <c r="G27" s="11" t="inlineStr">
        <is>
          <t>Amount</t>
        </is>
      </c>
    </row>
    <row r="28">
      <c r="B28" t="inlineStr">
        <is>
          <t>Week 2 (8th - 14th)</t>
        </is>
      </c>
      <c r="C28" t="inlineStr">
        <is>
          <t>$85</t>
        </is>
      </c>
      <c r="E28" s="12" t="inlineStr">
        <is>
          <t>Jan 1</t>
        </is>
      </c>
      <c r="F28" s="12" t="inlineStr">
        <is>
          <t>Car Loan</t>
        </is>
      </c>
      <c r="G28" s="12" t="inlineStr">
        <is>
          <t>$350</t>
        </is>
      </c>
    </row>
    <row r="29">
      <c r="B29" t="inlineStr">
        <is>
          <t>Week 3 (15th - 21st)</t>
        </is>
      </c>
      <c r="C29" t="inlineStr">
        <is>
          <t>$400</t>
        </is>
      </c>
      <c r="E29" s="12" t="inlineStr">
        <is>
          <t>Jan 5</t>
        </is>
      </c>
      <c r="F29" s="12" t="inlineStr">
        <is>
          <t>Personal Loan</t>
        </is>
      </c>
      <c r="G29" s="12" t="inlineStr">
        <is>
          <t>$200</t>
        </is>
      </c>
    </row>
    <row r="30">
      <c r="B30" t="inlineStr">
        <is>
          <t>Week 4 (22nd - 28th)</t>
        </is>
      </c>
      <c r="C30" t="inlineStr">
        <is>
          <t>$0</t>
        </is>
      </c>
      <c r="E30" s="12" t="inlineStr">
        <is>
          <t>Jan 10</t>
        </is>
      </c>
      <c r="F30" s="12" t="inlineStr">
        <is>
          <t>Credit Card B</t>
        </is>
      </c>
      <c r="G30" s="12" t="inlineStr">
        <is>
          <t>$85</t>
        </is>
      </c>
    </row>
    <row r="31">
      <c r="B31" s="4" t="inlineStr">
        <is>
          <t>Month Total</t>
        </is>
      </c>
      <c r="C31" s="4" t="inlineStr">
        <is>
          <t>$1,035</t>
        </is>
      </c>
      <c r="E31" s="12" t="inlineStr">
        <is>
          <t>Jan 15</t>
        </is>
      </c>
      <c r="F31" s="12" t="inlineStr">
        <is>
          <t>Credit Card A</t>
        </is>
      </c>
      <c r="G31" s="12" t="inlineStr">
        <is>
          <t>$150</t>
        </is>
      </c>
    </row>
    <row r="32">
      <c r="E32" s="12" t="inlineStr">
        <is>
          <t>Jan 20</t>
        </is>
      </c>
      <c r="F32" s="12" t="inlineStr">
        <is>
          <t>Student Loan</t>
        </is>
      </c>
      <c r="G32" s="12" t="inlineStr">
        <is>
          <t>$250</t>
        </is>
      </c>
    </row>
  </sheetData>
  <mergeCells count="1">
    <mergeCell ref="B2:H2"/>
  </mergeCells>
  <dataValidations count="1">
    <dataValidation sqref="F4" showDropDown="0" showInputMessage="0" showErrorMessage="0" allowBlank="0" type="list">
      <formula1>"Monday,Sunday"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46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20" customWidth="1" min="4" max="4"/>
  </cols>
  <sheetData>
    <row r="2">
      <c r="B2" s="9" t="inlineStr">
        <is>
          <t>AUDIT &amp; SETTINGS</t>
        </is>
      </c>
    </row>
    <row r="3">
      <c r="B3" s="16" t="inlineStr">
        <is>
          <t>Workbook configuration and maintenance information</t>
        </is>
      </c>
    </row>
    <row r="5">
      <c r="B5" s="3" t="inlineStr">
        <is>
          <t>WORKBOOK INFORMATION</t>
        </is>
      </c>
    </row>
    <row r="7">
      <c r="B7" s="4" t="inlineStr">
        <is>
          <t>Workbook Version</t>
        </is>
      </c>
      <c r="C7" t="inlineStr">
        <is>
          <t>1.0</t>
        </is>
      </c>
    </row>
    <row r="8">
      <c r="B8" s="4" t="inlineStr">
        <is>
          <t>Created Date</t>
        </is>
      </c>
      <c r="C8" t="inlineStr">
        <is>
          <t>2025-12-28</t>
        </is>
      </c>
    </row>
    <row r="9">
      <c r="B9" s="4" t="inlineStr">
        <is>
          <t>Last Modified</t>
        </is>
      </c>
      <c r="C9" t="inlineStr">
        <is>
          <t>2025-12-28 07:45</t>
        </is>
      </c>
    </row>
    <row r="10">
      <c r="B10" s="4" t="inlineStr">
        <is>
          <t>Excel Version Required</t>
        </is>
      </c>
      <c r="C10" t="inlineStr">
        <is>
          <t>Microsoft 365 (recommended)</t>
        </is>
      </c>
    </row>
    <row r="11">
      <c r="B11" s="4" t="inlineStr">
        <is>
          <t>Calculation Mode</t>
        </is>
      </c>
      <c r="C11" t="inlineStr">
        <is>
          <t>Automatic</t>
        </is>
      </c>
    </row>
    <row r="14">
      <c r="B14" s="3" t="inlineStr">
        <is>
          <t>TABLES REGISTRY</t>
        </is>
      </c>
    </row>
    <row r="16">
      <c r="B16" s="11" t="inlineStr">
        <is>
          <t>Table Name</t>
        </is>
      </c>
      <c r="C16" s="11" t="inlineStr">
        <is>
          <t>Location</t>
        </is>
      </c>
      <c r="D16" s="11" t="inlineStr">
        <is>
          <t>Description</t>
        </is>
      </c>
    </row>
    <row r="17">
      <c r="B17" s="12" t="inlineStr">
        <is>
          <t>tblDebts</t>
        </is>
      </c>
      <c r="C17" s="12" t="inlineStr">
        <is>
          <t>Debt Register</t>
        </is>
      </c>
      <c r="D17" s="12" t="inlineStr">
        <is>
          <t>Master list of all debts</t>
        </is>
      </c>
    </row>
    <row r="18">
      <c r="B18" s="12" t="inlineStr">
        <is>
          <t>tblAssumptions</t>
        </is>
      </c>
      <c r="C18" s="12" t="inlineStr">
        <is>
          <t>Setup</t>
        </is>
      </c>
      <c r="D18" s="12" t="inlineStr">
        <is>
          <t>Plan configuration parameters</t>
        </is>
      </c>
    </row>
    <row r="19">
      <c r="B19" s="12" t="inlineStr">
        <is>
          <t>tblPaymentsActual</t>
        </is>
      </c>
      <c r="C19" s="12" t="inlineStr">
        <is>
          <t>Actual Payments</t>
        </is>
      </c>
      <c r="D19" s="12" t="inlineStr">
        <is>
          <t>Payment transaction log</t>
        </is>
      </c>
    </row>
    <row r="22">
      <c r="B22" s="3" t="inlineStr">
        <is>
          <t>DATA VALIDATION LISTS</t>
        </is>
      </c>
    </row>
    <row r="24">
      <c r="B24" s="11" t="inlineStr">
        <is>
          <t>List Name</t>
        </is>
      </c>
      <c r="C24" s="11" t="inlineStr">
        <is>
          <t>Values</t>
        </is>
      </c>
    </row>
    <row r="25">
      <c r="B25" s="12" t="inlineStr">
        <is>
          <t>PayoffMethod</t>
        </is>
      </c>
      <c r="C25" s="12" t="inlineStr">
        <is>
          <t>Snowball, Avalanche, Custom</t>
        </is>
      </c>
    </row>
    <row r="26">
      <c r="B26" s="12" t="inlineStr">
        <is>
          <t>DebtType</t>
        </is>
      </c>
      <c r="C26" s="12" t="inlineStr">
        <is>
          <t>Credit Card, Loan, Overdraft, Line of Credit, Other</t>
        </is>
      </c>
    </row>
    <row r="27">
      <c r="B27" s="12" t="inlineStr">
        <is>
          <t>InterestMethod</t>
        </is>
      </c>
      <c r="C27" s="12" t="inlineStr">
        <is>
          <t>Monthly, Daily</t>
        </is>
      </c>
    </row>
    <row r="28">
      <c r="B28" s="12" t="inlineStr">
        <is>
          <t>YesNo</t>
        </is>
      </c>
      <c r="C28" s="12" t="inlineStr">
        <is>
          <t>Yes, No</t>
        </is>
      </c>
    </row>
    <row r="29">
      <c r="B29" s="12" t="inlineStr">
        <is>
          <t>DebtStatus</t>
        </is>
      </c>
      <c r="C29" s="12" t="inlineStr">
        <is>
          <t>Open, Paid, On Hold</t>
        </is>
      </c>
    </row>
    <row r="30">
      <c r="B30" s="12" t="inlineStr">
        <is>
          <t>WeekStart</t>
        </is>
      </c>
      <c r="C30" s="12" t="inlineStr">
        <is>
          <t>Monday, Sunday</t>
        </is>
      </c>
    </row>
    <row r="33">
      <c r="B33" s="3" t="inlineStr">
        <is>
          <t>RESET INSTRUCTIONS</t>
        </is>
      </c>
    </row>
    <row r="35">
      <c r="B35" t="inlineStr">
        <is>
          <t>• To reset actual payments: Select all data rows in tblPaymentsActual and delete</t>
        </is>
      </c>
    </row>
    <row r="36">
      <c r="B36" t="inlineStr">
        <is>
          <t>• To reset debts: Clear rows in tblDebts (keep headers)</t>
        </is>
      </c>
    </row>
    <row r="37">
      <c r="B37" t="inlineStr">
        <is>
          <t>• To start fresh: Save a copy of this workbook before entering data</t>
        </is>
      </c>
    </row>
    <row r="40">
      <c r="B40" s="3" t="inlineStr">
        <is>
          <t>TROUBLESHOOTING</t>
        </is>
      </c>
    </row>
    <row r="42">
      <c r="B42" s="11" t="inlineStr">
        <is>
          <t>Issue</t>
        </is>
      </c>
      <c r="C42" s="11" t="inlineStr">
        <is>
          <t>Solution</t>
        </is>
      </c>
    </row>
    <row r="43">
      <c r="B43" s="12" t="inlineStr">
        <is>
          <t>Formulas show #REF!</t>
        </is>
      </c>
      <c r="C43" s="12" t="inlineStr">
        <is>
          <t>Check that all tables exist and have data</t>
        </is>
      </c>
      <c r="D43" s="27" t="n"/>
    </row>
    <row r="44">
      <c r="B44" s="12" t="inlineStr">
        <is>
          <t>Schedule not calculating</t>
        </is>
      </c>
      <c r="C44" s="12" t="inlineStr">
        <is>
          <t>Ensure at least one debt is marked 'Yes' for IsIncluded</t>
        </is>
      </c>
      <c r="D44" s="27" t="n"/>
    </row>
    <row r="45">
      <c r="B45" s="12" t="inlineStr">
        <is>
          <t>Calendar not updating</t>
        </is>
      </c>
      <c r="C45" s="12" t="inlineStr">
        <is>
          <t>Verify the Display Month format is YYYY-MM</t>
        </is>
      </c>
      <c r="D45" s="27" t="n"/>
    </row>
    <row r="46">
      <c r="B46" s="12" t="inlineStr">
        <is>
          <t>Slow performance</t>
        </is>
      </c>
      <c r="C46" s="12" t="inlineStr">
        <is>
          <t>Set calculation to Manual, calculate with F9</t>
        </is>
      </c>
      <c r="D46" s="27" t="n"/>
    </row>
  </sheetData>
  <mergeCells count="9">
    <mergeCell ref="C43:D43"/>
    <mergeCell ref="B3:D3"/>
    <mergeCell ref="B36:D36"/>
    <mergeCell ref="B37:D37"/>
    <mergeCell ref="C46:D46"/>
    <mergeCell ref="B35:D35"/>
    <mergeCell ref="C45:D45"/>
    <mergeCell ref="C44:D44"/>
    <mergeCell ref="B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25" customWidth="1" min="4" max="4"/>
    <col width="18" customWidth="1" min="5" max="5"/>
    <col width="30" customWidth="1" min="6" max="6"/>
  </cols>
  <sheetData>
    <row r="2">
      <c r="B2" s="9" t="inlineStr">
        <is>
          <t>WINDFALL TRACKER</t>
        </is>
      </c>
    </row>
    <row r="3">
      <c r="B3" s="16" t="inlineStr">
        <is>
          <t>Track bonus payments, tax refunds, and other lump sum payments toward debt</t>
        </is>
      </c>
    </row>
    <row r="5">
      <c r="B5" s="11" t="inlineStr">
        <is>
          <t>Date</t>
        </is>
      </c>
      <c r="C5" s="11" t="inlineStr">
        <is>
          <t>Amount</t>
        </is>
      </c>
      <c r="D5" s="11" t="inlineStr">
        <is>
          <t>AllocationRule</t>
        </is>
      </c>
      <c r="E5" s="11" t="inlineStr">
        <is>
          <t>TargetDebtID</t>
        </is>
      </c>
      <c r="F5" s="11" t="inlineStr">
        <is>
          <t>Notes</t>
        </is>
      </c>
      <c r="H5" s="3" t="inlineStr">
        <is>
          <t>WINDFALL SUMMARY</t>
        </is>
      </c>
    </row>
    <row r="6">
      <c r="B6" s="26" t="inlineStr">
        <is>
          <t>2025-03-15</t>
        </is>
      </c>
      <c r="C6" s="19" t="n">
        <v>1500</v>
      </c>
      <c r="D6" s="10" t="inlineStr">
        <is>
          <t>Highest Rate</t>
        </is>
      </c>
      <c r="E6" s="10" t="inlineStr"/>
      <c r="F6" s="10" t="inlineStr">
        <is>
          <t>Tax refund</t>
        </is>
      </c>
    </row>
    <row r="7">
      <c r="B7" s="26" t="inlineStr">
        <is>
          <t>2025-06-01</t>
        </is>
      </c>
      <c r="C7" s="19" t="n">
        <v>500</v>
      </c>
      <c r="D7" s="10" t="inlineStr">
        <is>
          <t>Smallest Balance</t>
        </is>
      </c>
      <c r="E7" s="10" t="inlineStr"/>
      <c r="F7" s="10" t="inlineStr">
        <is>
          <t>Bonus</t>
        </is>
      </c>
      <c r="H7" s="4" t="inlineStr">
        <is>
          <t>Total Windfalls Planned</t>
        </is>
      </c>
      <c r="I7" s="21">
        <f>SUM(tblWindfalls[Amount])</f>
        <v/>
      </c>
    </row>
    <row r="8">
      <c r="B8" s="26" t="inlineStr">
        <is>
          <t>2025-12-01</t>
        </is>
      </c>
      <c r="C8" s="19" t="n">
        <v>1000</v>
      </c>
      <c r="D8" s="10" t="inlineStr">
        <is>
          <t>Custom</t>
        </is>
      </c>
      <c r="E8" s="10" t="n">
        <v>2</v>
      </c>
      <c r="F8" s="10" t="inlineStr">
        <is>
          <t>Year-end bonus to car loan</t>
        </is>
      </c>
      <c r="H8" s="4" t="inlineStr">
        <is>
          <t>Applied This Year</t>
        </is>
      </c>
      <c r="I8" s="21">
        <f>SUMIF(tblWindfalls[Date],"&gt;="&amp;DATE(YEAR(TODAY()),1,1),tblWindfalls[Amount])</f>
        <v/>
      </c>
    </row>
    <row r="9">
      <c r="B9" s="10" t="inlineStr"/>
      <c r="C9" s="10" t="inlineStr"/>
      <c r="D9" s="10" t="inlineStr"/>
      <c r="E9" s="10" t="inlineStr"/>
      <c r="F9" s="10" t="inlineStr"/>
    </row>
    <row r="10">
      <c r="B10" s="10" t="inlineStr"/>
      <c r="C10" s="10" t="inlineStr"/>
      <c r="D10" s="10" t="inlineStr"/>
      <c r="E10" s="10" t="inlineStr"/>
      <c r="F10" s="10" t="inlineStr"/>
    </row>
    <row r="11">
      <c r="B11" s="10" t="inlineStr"/>
      <c r="C11" s="10" t="inlineStr"/>
      <c r="D11" s="10" t="inlineStr"/>
      <c r="E11" s="10" t="inlineStr"/>
      <c r="F11" s="10" t="inlineStr"/>
    </row>
    <row r="12">
      <c r="B12" s="10" t="inlineStr"/>
      <c r="C12" s="10" t="inlineStr"/>
      <c r="D12" s="10" t="inlineStr"/>
      <c r="E12" s="10" t="inlineStr"/>
      <c r="F12" s="10" t="inlineStr"/>
    </row>
    <row r="13">
      <c r="B13" s="10" t="inlineStr"/>
      <c r="C13" s="10" t="inlineStr"/>
      <c r="D13" s="10" t="inlineStr"/>
      <c r="E13" s="10" t="inlineStr"/>
      <c r="F13" s="10" t="inlineStr"/>
    </row>
    <row r="14">
      <c r="B14" s="10" t="inlineStr"/>
      <c r="C14" s="10" t="inlineStr"/>
      <c r="D14" s="10" t="inlineStr"/>
      <c r="E14" s="10" t="inlineStr"/>
      <c r="F14" s="10" t="inlineStr"/>
    </row>
    <row r="15">
      <c r="B15" s="10" t="inlineStr"/>
      <c r="C15" s="10" t="inlineStr"/>
      <c r="D15" s="10" t="inlineStr"/>
      <c r="E15" s="10" t="inlineStr"/>
      <c r="F15" s="10" t="inlineStr"/>
    </row>
    <row r="16">
      <c r="B16" s="10" t="inlineStr"/>
      <c r="C16" s="10" t="inlineStr"/>
      <c r="D16" s="10" t="inlineStr"/>
      <c r="E16" s="10" t="inlineStr"/>
      <c r="F16" s="10" t="inlineStr"/>
    </row>
    <row r="17">
      <c r="B17" s="10" t="inlineStr"/>
      <c r="C17" s="10" t="inlineStr"/>
      <c r="D17" s="10" t="inlineStr"/>
      <c r="E17" s="10" t="inlineStr"/>
      <c r="F17" s="10" t="inlineStr"/>
    </row>
    <row r="18">
      <c r="B18" s="10" t="inlineStr"/>
      <c r="C18" s="10" t="inlineStr"/>
      <c r="D18" s="10" t="inlineStr"/>
      <c r="E18" s="10" t="inlineStr"/>
      <c r="F18" s="10" t="inlineStr"/>
    </row>
    <row r="19">
      <c r="B19" s="10" t="inlineStr"/>
      <c r="C19" s="10" t="inlineStr"/>
      <c r="D19" s="10" t="inlineStr"/>
      <c r="E19" s="10" t="inlineStr"/>
      <c r="F19" s="10" t="inlineStr"/>
    </row>
    <row r="20">
      <c r="B20" s="10" t="inlineStr"/>
      <c r="C20" s="10" t="inlineStr"/>
      <c r="D20" s="10" t="inlineStr"/>
      <c r="E20" s="10" t="inlineStr"/>
      <c r="F20" s="10" t="inlineStr"/>
    </row>
    <row r="21">
      <c r="B21" s="10" t="inlineStr"/>
      <c r="C21" s="10" t="inlineStr"/>
      <c r="D21" s="10" t="inlineStr"/>
      <c r="E21" s="10" t="inlineStr"/>
      <c r="F21" s="10" t="inlineStr"/>
    </row>
    <row r="22">
      <c r="B22" s="10" t="inlineStr"/>
      <c r="C22" s="10" t="inlineStr"/>
      <c r="D22" s="10" t="inlineStr"/>
      <c r="E22" s="10" t="inlineStr"/>
      <c r="F22" s="10" t="inlineStr"/>
    </row>
    <row r="23">
      <c r="B23" s="10" t="inlineStr"/>
      <c r="C23" s="10" t="inlineStr"/>
      <c r="D23" s="10" t="inlineStr"/>
      <c r="E23" s="10" t="inlineStr"/>
      <c r="F23" s="10" t="inlineStr"/>
    </row>
    <row r="24">
      <c r="B24" s="10" t="inlineStr"/>
      <c r="C24" s="10" t="inlineStr"/>
      <c r="D24" s="10" t="inlineStr"/>
      <c r="E24" s="10" t="inlineStr"/>
      <c r="F24" s="10" t="inlineStr"/>
    </row>
    <row r="25">
      <c r="B25" s="10" t="inlineStr"/>
      <c r="C25" s="10" t="inlineStr"/>
      <c r="D25" s="10" t="inlineStr"/>
      <c r="E25" s="10" t="inlineStr"/>
      <c r="F25" s="10" t="inlineStr"/>
    </row>
    <row r="26">
      <c r="B26" s="10" t="inlineStr"/>
      <c r="C26" s="10" t="inlineStr"/>
      <c r="D26" s="10" t="inlineStr"/>
      <c r="E26" s="10" t="inlineStr"/>
      <c r="F26" s="10" t="inlineStr"/>
    </row>
    <row r="27">
      <c r="B27" s="10" t="inlineStr"/>
      <c r="C27" s="10" t="inlineStr"/>
      <c r="D27" s="10" t="inlineStr"/>
      <c r="E27" s="10" t="inlineStr"/>
      <c r="F27" s="10" t="inlineStr"/>
    </row>
    <row r="28">
      <c r="B28" s="10" t="inlineStr"/>
      <c r="C28" s="10" t="inlineStr"/>
      <c r="D28" s="10" t="inlineStr"/>
      <c r="E28" s="10" t="inlineStr"/>
      <c r="F28" s="10" t="inlineStr"/>
    </row>
    <row r="29">
      <c r="B29" s="10" t="inlineStr"/>
      <c r="C29" s="10" t="inlineStr"/>
      <c r="D29" s="10" t="inlineStr"/>
      <c r="E29" s="10" t="inlineStr"/>
      <c r="F29" s="10" t="inlineStr"/>
    </row>
    <row r="30">
      <c r="B30" s="10" t="inlineStr"/>
      <c r="C30" s="10" t="inlineStr"/>
      <c r="D30" s="10" t="inlineStr"/>
      <c r="E30" s="10" t="inlineStr"/>
      <c r="F30" s="10" t="inlineStr"/>
    </row>
    <row r="31">
      <c r="B31" s="10" t="inlineStr"/>
      <c r="C31" s="10" t="inlineStr"/>
      <c r="D31" s="10" t="inlineStr"/>
      <c r="E31" s="10" t="inlineStr"/>
      <c r="F31" s="10" t="inlineStr"/>
    </row>
    <row r="32">
      <c r="B32" s="10" t="inlineStr"/>
      <c r="C32" s="10" t="inlineStr"/>
      <c r="D32" s="10" t="inlineStr"/>
      <c r="E32" s="10" t="inlineStr"/>
      <c r="F32" s="10" t="inlineStr"/>
    </row>
    <row r="33">
      <c r="B33" s="10" t="inlineStr"/>
      <c r="C33" s="10" t="inlineStr"/>
      <c r="D33" s="10" t="inlineStr"/>
      <c r="E33" s="10" t="inlineStr"/>
      <c r="F33" s="10" t="inlineStr"/>
    </row>
    <row r="34">
      <c r="B34" s="10" t="inlineStr"/>
      <c r="C34" s="10" t="inlineStr"/>
      <c r="D34" s="10" t="inlineStr"/>
      <c r="E34" s="10" t="inlineStr"/>
      <c r="F34" s="10" t="inlineStr"/>
    </row>
    <row r="35">
      <c r="B35" s="10" t="inlineStr"/>
      <c r="C35" s="10" t="inlineStr"/>
      <c r="D35" s="10" t="inlineStr"/>
      <c r="E35" s="10" t="inlineStr"/>
      <c r="F35" s="10" t="inlineStr"/>
    </row>
    <row r="36">
      <c r="B36" s="10" t="inlineStr"/>
      <c r="C36" s="10" t="inlineStr"/>
      <c r="D36" s="10" t="inlineStr"/>
      <c r="E36" s="10" t="inlineStr"/>
      <c r="F36" s="10" t="inlineStr"/>
    </row>
    <row r="37">
      <c r="B37" s="10" t="inlineStr"/>
      <c r="C37" s="10" t="inlineStr"/>
      <c r="D37" s="10" t="inlineStr"/>
      <c r="E37" s="10" t="inlineStr"/>
      <c r="F37" s="10" t="inlineStr"/>
    </row>
    <row r="38">
      <c r="B38" s="10" t="inlineStr"/>
      <c r="C38" s="10" t="inlineStr"/>
      <c r="D38" s="10" t="inlineStr"/>
      <c r="E38" s="10" t="inlineStr"/>
      <c r="F38" s="10" t="inlineStr"/>
    </row>
    <row r="39">
      <c r="B39" s="10" t="inlineStr"/>
      <c r="C39" s="10" t="inlineStr"/>
      <c r="D39" s="10" t="inlineStr"/>
      <c r="E39" s="10" t="inlineStr"/>
      <c r="F39" s="10" t="inlineStr"/>
    </row>
    <row r="40">
      <c r="B40" s="10" t="inlineStr"/>
      <c r="C40" s="10" t="inlineStr"/>
      <c r="D40" s="10" t="inlineStr"/>
      <c r="E40" s="10" t="inlineStr"/>
      <c r="F40" s="10" t="inlineStr"/>
    </row>
    <row r="41">
      <c r="B41" s="10" t="inlineStr"/>
      <c r="C41" s="10" t="inlineStr"/>
      <c r="D41" s="10" t="inlineStr"/>
      <c r="E41" s="10" t="inlineStr"/>
      <c r="F41" s="10" t="inlineStr"/>
    </row>
    <row r="42">
      <c r="B42" s="10" t="inlineStr"/>
      <c r="C42" s="10" t="inlineStr"/>
      <c r="D42" s="10" t="inlineStr"/>
      <c r="E42" s="10" t="inlineStr"/>
      <c r="F42" s="10" t="inlineStr"/>
    </row>
    <row r="43">
      <c r="B43" s="10" t="inlineStr"/>
      <c r="C43" s="10" t="inlineStr"/>
      <c r="D43" s="10" t="inlineStr"/>
      <c r="E43" s="10" t="inlineStr"/>
      <c r="F43" s="10" t="inlineStr"/>
    </row>
    <row r="44">
      <c r="B44" s="10" t="inlineStr"/>
      <c r="C44" s="10" t="inlineStr"/>
      <c r="D44" s="10" t="inlineStr"/>
      <c r="E44" s="10" t="inlineStr"/>
      <c r="F44" s="10" t="inlineStr"/>
    </row>
    <row r="45">
      <c r="B45" s="10" t="inlineStr"/>
      <c r="C45" s="10" t="inlineStr"/>
      <c r="D45" s="10" t="inlineStr"/>
      <c r="E45" s="10" t="inlineStr"/>
      <c r="F45" s="10" t="inlineStr"/>
    </row>
    <row r="46">
      <c r="B46" s="10" t="inlineStr"/>
      <c r="C46" s="10" t="inlineStr"/>
      <c r="D46" s="10" t="inlineStr"/>
      <c r="E46" s="10" t="inlineStr"/>
      <c r="F46" s="10" t="inlineStr"/>
    </row>
    <row r="47">
      <c r="B47" s="10" t="inlineStr"/>
      <c r="C47" s="10" t="inlineStr"/>
      <c r="D47" s="10" t="inlineStr"/>
      <c r="E47" s="10" t="inlineStr"/>
      <c r="F47" s="10" t="inlineStr"/>
    </row>
    <row r="48">
      <c r="B48" s="10" t="inlineStr"/>
      <c r="C48" s="10" t="inlineStr"/>
      <c r="D48" s="10" t="inlineStr"/>
      <c r="E48" s="10" t="inlineStr"/>
      <c r="F48" s="10" t="inlineStr"/>
    </row>
    <row r="49">
      <c r="B49" s="10" t="inlineStr"/>
      <c r="C49" s="10" t="inlineStr"/>
      <c r="D49" s="10" t="inlineStr"/>
      <c r="E49" s="10" t="inlineStr"/>
      <c r="F49" s="10" t="inlineStr"/>
    </row>
    <row r="50">
      <c r="B50" s="10" t="inlineStr"/>
      <c r="C50" s="10" t="inlineStr"/>
      <c r="D50" s="10" t="inlineStr"/>
      <c r="E50" s="10" t="inlineStr"/>
      <c r="F50" s="10" t="inlineStr"/>
    </row>
    <row r="51">
      <c r="B51" s="10" t="inlineStr"/>
      <c r="C51" s="10" t="inlineStr"/>
      <c r="D51" s="10" t="inlineStr"/>
      <c r="E51" s="10" t="inlineStr"/>
      <c r="F51" s="10" t="inlineStr"/>
    </row>
    <row r="52">
      <c r="B52" s="10" t="inlineStr"/>
      <c r="C52" s="10" t="inlineStr"/>
      <c r="D52" s="10" t="inlineStr"/>
      <c r="E52" s="10" t="inlineStr"/>
      <c r="F52" s="10" t="inlineStr"/>
    </row>
    <row r="53">
      <c r="B53" s="10" t="inlineStr"/>
      <c r="C53" s="10" t="inlineStr"/>
      <c r="D53" s="10" t="inlineStr"/>
      <c r="E53" s="10" t="inlineStr"/>
      <c r="F53" s="10" t="inlineStr"/>
    </row>
    <row r="54">
      <c r="B54" s="10" t="inlineStr"/>
      <c r="C54" s="10" t="inlineStr"/>
      <c r="D54" s="10" t="inlineStr"/>
      <c r="E54" s="10" t="inlineStr"/>
      <c r="F54" s="10" t="inlineStr"/>
    </row>
    <row r="55">
      <c r="B55" s="10" t="inlineStr"/>
      <c r="C55" s="10" t="inlineStr"/>
      <c r="D55" s="10" t="inlineStr"/>
      <c r="E55" s="10" t="inlineStr"/>
      <c r="F55" s="10" t="inlineStr"/>
    </row>
  </sheetData>
  <mergeCells count="2">
    <mergeCell ref="B2:F2"/>
    <mergeCell ref="B3:F3"/>
  </mergeCells>
  <dataValidations count="1">
    <dataValidation sqref="D6:D55" showDropDown="0" showInputMessage="0" showErrorMessage="0" allowBlank="0" type="list">
      <formula1>"Highest Rate,Smallest Balance,Custom"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E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8" customWidth="1" min="4" max="4"/>
    <col width="18" customWidth="1" min="5" max="5"/>
  </cols>
  <sheetData>
    <row r="2">
      <c r="B2" s="9" t="inlineStr">
        <is>
          <t>METHOD COMPARISON</t>
        </is>
      </c>
    </row>
    <row r="3">
      <c r="B3" s="16" t="inlineStr">
        <is>
          <t>Compare Snowball vs Avalanche payoff strategies</t>
        </is>
      </c>
    </row>
    <row r="5">
      <c r="B5" s="11" t="inlineStr">
        <is>
          <t>Metric</t>
        </is>
      </c>
      <c r="C5" s="11" t="inlineStr">
        <is>
          <t>Snowball</t>
        </is>
      </c>
      <c r="D5" s="11" t="inlineStr">
        <is>
          <t>Avalanche</t>
        </is>
      </c>
      <c r="E5" s="11" t="inlineStr">
        <is>
          <t>Difference</t>
        </is>
      </c>
    </row>
    <row r="6">
      <c r="B6" s="40" t="inlineStr">
        <is>
          <t>Debt-Free Date</t>
        </is>
      </c>
      <c r="C6" s="12" t="inlineStr">
        <is>
          <t>Apr 2031</t>
        </is>
      </c>
      <c r="D6" s="41" t="inlineStr">
        <is>
          <t>Feb 2031</t>
        </is>
      </c>
      <c r="E6" s="12" t="inlineStr">
        <is>
          <t>2 months faster</t>
        </is>
      </c>
    </row>
    <row r="7">
      <c r="B7" s="40" t="inlineStr">
        <is>
          <t>Total Interest Paid</t>
        </is>
      </c>
      <c r="C7" s="12" t="inlineStr">
        <is>
          <t>$11,070</t>
        </is>
      </c>
      <c r="D7" s="41" t="inlineStr">
        <is>
          <t>$9,845</t>
        </is>
      </c>
      <c r="E7" s="12" t="inlineStr">
        <is>
          <t>$1,225 savings</t>
        </is>
      </c>
    </row>
    <row r="8">
      <c r="B8" s="40" t="inlineStr">
        <is>
          <t>First Debt Paid Off</t>
        </is>
      </c>
      <c r="C8" s="12" t="inlineStr">
        <is>
          <t>Mar 2026</t>
        </is>
      </c>
      <c r="D8" s="41" t="inlineStr">
        <is>
          <t>Oct 2028</t>
        </is>
      </c>
      <c r="E8" s="12" t="inlineStr">
        <is>
          <t>30 months faster</t>
        </is>
      </c>
    </row>
    <row r="9">
      <c r="B9" s="40" t="inlineStr">
        <is>
          <t>Total Paid</t>
        </is>
      </c>
      <c r="C9" s="12" t="inlineStr">
        <is>
          <t>$59,670</t>
        </is>
      </c>
      <c r="D9" s="41" t="inlineStr">
        <is>
          <t>$58,445</t>
        </is>
      </c>
      <c r="E9" s="12" t="inlineStr">
        <is>
          <t>$1,225 savings</t>
        </is>
      </c>
    </row>
    <row r="12">
      <c r="B12" s="3" t="inlineStr">
        <is>
          <t>RECOMMENDATION</t>
        </is>
      </c>
    </row>
    <row r="14">
      <c r="B14" t="inlineStr">
        <is>
          <t>Based on your debts:</t>
        </is>
      </c>
    </row>
    <row r="15">
      <c r="B15" t="inlineStr">
        <is>
          <t>• AVALANCHE saves you $1,225 in interest and gets you debt-free 2 months sooner</t>
        </is>
      </c>
    </row>
    <row r="16">
      <c r="B16" t="inlineStr">
        <is>
          <t>• SNOWBALL pays off your first debt 30 months earlier (psychological wins)</t>
        </is>
      </c>
    </row>
    <row r="18">
      <c r="B18" s="42" t="inlineStr">
        <is>
          <t>Choose Avalanche if you're motivated by savings. Choose Snowball if you need quick wins.</t>
        </is>
      </c>
    </row>
  </sheetData>
  <mergeCells count="5">
    <mergeCell ref="B18:E18"/>
    <mergeCell ref="B16:E16"/>
    <mergeCell ref="B15:E15"/>
    <mergeCell ref="B3:E3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2025-12-28T07:45:58Z</dcterms:created>
  <dcterms:modified xsi:type="dcterms:W3CDTF">2025-12-28T07:45:58Z</dcterms:modified>
</cp:coreProperties>
</file>