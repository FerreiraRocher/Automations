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ebt Inventory" sheetId="2" state="visible" r:id="rId2"/>
    <sheet name="Strategy Selector" sheetId="3" state="visible" r:id="rId3"/>
    <sheet name="Payment Schedule" sheetId="4" state="visible" r:id="rId4"/>
    <sheet name="Payment Tracker" sheetId="5" state="visible" r:id="rId5"/>
    <sheet name="Extra Payment Calculator" sheetId="6" state="visible" r:id="rId6"/>
    <sheet name="Progress &amp; Milestones" sheetId="7" state="visible" r:id="rId7"/>
    <sheet name="Annual Summary" sheetId="8" state="visible" r:id="rId8"/>
  </sheets>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MM/DD/YYYY"/>
    <numFmt numFmtId="167" formatCode="0.0"/>
    <numFmt numFmtId="168" formatCode="MMM YYYY"/>
  </numFmts>
  <fonts count="23">
    <font>
      <name val="Calibri"/>
      <family val="2"/>
      <color theme="1"/>
      <sz val="11"/>
      <scheme val="minor"/>
    </font>
    <font>
      <b val="1"/>
      <color rgb="00FFFFFF"/>
      <sz val="12"/>
    </font>
    <font>
      <b val="1"/>
      <color rgb="00FFFFFF"/>
      <sz val="11"/>
    </font>
    <font/>
    <font>
      <b val="1"/>
      <color rgb="001E3A5F"/>
      <sz val="18"/>
    </font>
    <font>
      <b val="1"/>
      <color rgb="001E3A5F"/>
      <sz val="14"/>
    </font>
    <font>
      <b val="1"/>
      <color rgb="001E3A5F"/>
      <sz val="24"/>
    </font>
    <font>
      <i val="1"/>
      <color rgb="00666666"/>
    </font>
    <font>
      <b val="1"/>
    </font>
    <font>
      <b val="1"/>
      <sz val="12"/>
    </font>
    <font>
      <b val="1"/>
      <color rgb="005BA88E"/>
      <sz val="14"/>
    </font>
    <font>
      <b val="1"/>
      <color rgb="003D7EA6"/>
      <sz val="14"/>
    </font>
    <font>
      <color rgb="00666666"/>
      <sz val="10"/>
    </font>
    <font>
      <i val="1"/>
      <color rgb="00666666"/>
      <sz val="9"/>
    </font>
    <font>
      <b val="1"/>
      <sz val="14"/>
    </font>
    <font>
      <b val="1"/>
      <color rgb="005BA88E"/>
      <sz val="12"/>
    </font>
    <font>
      <sz val="10"/>
    </font>
    <font>
      <b val="1"/>
      <color rgb="003D7EA6"/>
      <sz val="12"/>
    </font>
    <font>
      <b val="1"/>
      <color rgb="001E3A5F"/>
      <sz val="12"/>
    </font>
    <font>
      <sz val="11"/>
    </font>
    <font>
      <b val="1"/>
      <color rgb="005BA88E"/>
    </font>
    <font>
      <sz val="20"/>
    </font>
    <font>
      <sz val="14"/>
    </font>
  </fonts>
  <fills count="6">
    <fill>
      <patternFill/>
    </fill>
    <fill>
      <patternFill patternType="gray125"/>
    </fill>
    <fill>
      <patternFill patternType="solid">
        <fgColor rgb="001E3A5F"/>
      </patternFill>
    </fill>
    <fill>
      <patternFill patternType="solid">
        <fgColor rgb="003D7EA6"/>
      </patternFill>
    </fill>
    <fill>
      <patternFill patternType="solid">
        <fgColor rgb="00E8F4FC"/>
      </patternFill>
    </fill>
    <fill>
      <patternFill patternType="solid">
        <fgColor rgb="00F5F5F5"/>
      </patternFill>
    </fill>
  </fills>
  <borders count="8">
    <border>
      <left/>
      <right/>
      <top/>
      <bottom/>
      <diagonal/>
    </border>
    <border>
      <left style="thin"/>
      <right style="thin"/>
      <top style="thin"/>
      <bottom style="thin"/>
    </border>
    <border/>
    <border>
      <left style="medium"/>
      <right style="medium"/>
      <top style="medium"/>
      <bottom style="medium"/>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9">
    <xf numFmtId="0" fontId="0" fillId="0" borderId="0"/>
    <xf numFmtId="0" fontId="1" fillId="2" borderId="1" applyAlignment="1">
      <alignment horizontal="center" vertical="center" wrapText="1"/>
    </xf>
    <xf numFmtId="0" fontId="2" fillId="3" borderId="1" applyAlignment="1">
      <alignment horizontal="center" vertical="center"/>
    </xf>
    <xf numFmtId="0" fontId="3" fillId="4" borderId="1" applyAlignment="1">
      <alignment horizontal="center" vertical="center"/>
    </xf>
    <xf numFmtId="0" fontId="3" fillId="5" borderId="1" applyAlignment="1">
      <alignment horizontal="center" vertical="center"/>
    </xf>
    <xf numFmtId="164" fontId="3" fillId="0" borderId="1" applyAlignment="1">
      <alignment horizontal="right" vertical="center"/>
    </xf>
    <xf numFmtId="10" fontId="3" fillId="0" borderId="1" applyAlignment="1">
      <alignment horizontal="center" vertical="center"/>
    </xf>
    <xf numFmtId="0" fontId="4" fillId="0" borderId="2" applyAlignment="1">
      <alignment horizontal="center" vertical="center"/>
    </xf>
    <xf numFmtId="164" fontId="5" fillId="0" borderId="2" applyAlignment="1">
      <alignment horizontal="center" vertical="center"/>
    </xf>
  </cellStyleXfs>
  <cellXfs count="53">
    <xf numFmtId="0" fontId="0" fillId="0" borderId="0" pivotButton="0" quotePrefix="0" xfId="0"/>
    <xf numFmtId="0" fontId="6" fillId="0" borderId="0" applyAlignment="1" pivotButton="0" quotePrefix="0" xfId="0">
      <alignment horizontal="center" vertical="center"/>
    </xf>
    <xf numFmtId="0" fontId="7" fillId="0" borderId="0" pivotButton="0" quotePrefix="0" xfId="0"/>
    <xf numFmtId="0" fontId="1" fillId="2" borderId="1" applyAlignment="1" pivotButton="0" quotePrefix="0" xfId="1">
      <alignment horizontal="center" vertical="center" wrapText="1"/>
    </xf>
    <xf numFmtId="0" fontId="8" fillId="0" borderId="0" pivotButton="0" quotePrefix="0" xfId="0"/>
    <xf numFmtId="164" fontId="9" fillId="0" borderId="0" pivotButton="0" quotePrefix="0" xfId="0"/>
    <xf numFmtId="0" fontId="11" fillId="0" borderId="0" pivotButton="0" quotePrefix="0" xfId="0"/>
    <xf numFmtId="0" fontId="9" fillId="0" borderId="0" pivotButton="0" quotePrefix="0" xfId="0"/>
    <xf numFmtId="165" fontId="10" fillId="0" borderId="0" pivotButton="0" quotePrefix="0" xfId="0"/>
    <xf numFmtId="164" fontId="0" fillId="0" borderId="0" pivotButton="0" quotePrefix="0" xfId="0"/>
    <xf numFmtId="10" fontId="0" fillId="0" borderId="0" pivotButton="0" quotePrefix="0" xfId="0"/>
    <xf numFmtId="1" fontId="0" fillId="0" borderId="0" pivotButton="0" quotePrefix="0" xfId="0"/>
    <xf numFmtId="0" fontId="2" fillId="3" borderId="1" applyAlignment="1" pivotButton="0" quotePrefix="0" xfId="2">
      <alignment horizontal="center" vertical="center"/>
    </xf>
    <xf numFmtId="0" fontId="8" fillId="5" borderId="0" pivotButton="0" quotePrefix="0" xfId="0"/>
    <xf numFmtId="165" fontId="0" fillId="0" borderId="0" pivotButton="0" quotePrefix="0" xfId="0"/>
    <xf numFmtId="0" fontId="12" fillId="0" borderId="0" applyAlignment="1" pivotButton="0" quotePrefix="0" xfId="0">
      <alignment vertical="top" wrapText="1"/>
    </xf>
    <xf numFmtId="0" fontId="4" fillId="0" borderId="2" applyAlignment="1" pivotButton="0" quotePrefix="0" xfId="7">
      <alignment horizontal="center" vertical="center"/>
    </xf>
    <xf numFmtId="0" fontId="0" fillId="4" borderId="1" pivotButton="0" quotePrefix="0" xfId="0"/>
    <xf numFmtId="164" fontId="0" fillId="4" borderId="1" pivotButton="0" quotePrefix="0" xfId="0"/>
    <xf numFmtId="10" fontId="0" fillId="4" borderId="1" pivotButton="0" quotePrefix="0" xfId="0"/>
    <xf numFmtId="166" fontId="0" fillId="4" borderId="1" pivotButton="0" quotePrefix="0" xfId="0"/>
    <xf numFmtId="164" fontId="0" fillId="5" borderId="1" pivotButton="0" quotePrefix="0" xfId="0"/>
    <xf numFmtId="167" fontId="0" fillId="5" borderId="1" pivotButton="0" quotePrefix="0" xfId="0"/>
    <xf numFmtId="164" fontId="8" fillId="0" borderId="0" pivotButton="0" quotePrefix="0" xfId="0"/>
    <xf numFmtId="0" fontId="13" fillId="0" borderId="0" applyAlignment="1" pivotButton="0" quotePrefix="0" xfId="0">
      <alignment wrapText="1"/>
    </xf>
    <xf numFmtId="164" fontId="0" fillId="4" borderId="3" pivotButton="0" quotePrefix="0" xfId="0"/>
    <xf numFmtId="0" fontId="14" fillId="4" borderId="3" pivotButton="0" quotePrefix="0" xfId="0"/>
    <xf numFmtId="1" fontId="0" fillId="5" borderId="1" pivotButton="0" quotePrefix="0" xfId="0"/>
    <xf numFmtId="168" fontId="0" fillId="5" borderId="1" pivotButton="0" quotePrefix="0" xfId="0"/>
    <xf numFmtId="0" fontId="0" fillId="5" borderId="1" pivotButton="0" quotePrefix="0" xfId="0"/>
    <xf numFmtId="0" fontId="15" fillId="0" borderId="0" pivotButton="0" quotePrefix="0" xfId="0"/>
    <xf numFmtId="0" fontId="16" fillId="0" borderId="0" applyAlignment="1" pivotButton="0" quotePrefix="0" xfId="0">
      <alignment wrapText="1"/>
    </xf>
    <xf numFmtId="0" fontId="17" fillId="0" borderId="0" pivotButton="0" quotePrefix="0" xfId="0"/>
    <xf numFmtId="0" fontId="18" fillId="0" borderId="0" pivotButton="0" quotePrefix="0" xfId="0"/>
    <xf numFmtId="0" fontId="19" fillId="0" borderId="0" applyAlignment="1" pivotButton="0" quotePrefix="0" xfId="0">
      <alignment vertical="top" wrapText="1"/>
    </xf>
    <xf numFmtId="168" fontId="0" fillId="0" borderId="0" pivotButton="0" quotePrefix="0" xfId="0"/>
    <xf numFmtId="0" fontId="14" fillId="4" borderId="0" pivotButton="0" quotePrefix="0" xfId="0"/>
    <xf numFmtId="0" fontId="0" fillId="0" borderId="6" pivotButton="0" quotePrefix="0" xfId="0"/>
    <xf numFmtId="0" fontId="0" fillId="0" borderId="7" pivotButton="0" quotePrefix="0" xfId="0"/>
    <xf numFmtId="0" fontId="0" fillId="0" borderId="1" pivotButton="0" quotePrefix="0" xfId="0"/>
    <xf numFmtId="164" fontId="14" fillId="4" borderId="3" pivotButton="0" quotePrefix="0" xfId="0"/>
    <xf numFmtId="164" fontId="20" fillId="5" borderId="1" pivotButton="0" quotePrefix="0" xfId="0"/>
    <xf numFmtId="164" fontId="0" fillId="4" borderId="0" pivotButton="0" quotePrefix="0" xfId="0"/>
    <xf numFmtId="0" fontId="0" fillId="4" borderId="0" pivotButton="0" quotePrefix="0" xfId="0"/>
    <xf numFmtId="0" fontId="22" fillId="0" borderId="0" pivotButton="0" quotePrefix="0" xfId="0"/>
    <xf numFmtId="0" fontId="19" fillId="0" borderId="0" pivotButton="0" quotePrefix="0" xfId="0"/>
    <xf numFmtId="164" fontId="20" fillId="0" borderId="0" pivotButton="0" quotePrefix="0" xfId="0"/>
    <xf numFmtId="165" fontId="6" fillId="0" borderId="0" pivotButton="0" quotePrefix="0" xfId="0"/>
    <xf numFmtId="0" fontId="21" fillId="0" borderId="0" pivotButton="0" quotePrefix="0" xfId="0"/>
    <xf numFmtId="0" fontId="0" fillId="4" borderId="1" applyAlignment="1" pivotButton="0" quotePrefix="0" xfId="0">
      <alignment vertical="top" wrapText="1"/>
    </xf>
    <xf numFmtId="164" fontId="0" fillId="5" borderId="0" pivotButton="0" quotePrefix="0" xfId="0"/>
    <xf numFmtId="1" fontId="0" fillId="4" borderId="1" pivotButton="0" quotePrefix="0" xfId="0"/>
    <xf numFmtId="0" fontId="0" fillId="4" borderId="0" applyAlignment="1" pivotButton="0" quotePrefix="0" xfId="0">
      <alignment vertical="top" wrapText="1"/>
    </xf>
  </cellXfs>
  <cellStyles count="9">
    <cellStyle name="Normal" xfId="0" builtinId="0" hidden="0"/>
    <cellStyle name="header_style" xfId="1" hidden="0"/>
    <cellStyle name="subheader_style" xfId="2" hidden="0"/>
    <cellStyle name="input_style" xfId="3" hidden="0"/>
    <cellStyle name="calc_style" xfId="4" hidden="0"/>
    <cellStyle name="currency_style" xfId="5" hidden="0"/>
    <cellStyle name="percent_style" xfId="6" hidden="0"/>
    <cellStyle name="title_style" xfId="7" hidden="0"/>
    <cellStyle name="metric_style"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8"/>
  <sheetViews>
    <sheetView workbookViewId="0">
      <selection activeCell="A1" sqref="A1"/>
    </sheetView>
  </sheetViews>
  <sheetFormatPr baseColWidth="8" defaultRowHeight="15"/>
  <cols>
    <col width="3" customWidth="1" min="1" max="1"/>
    <col width="25" customWidth="1" min="2" max="2"/>
    <col width="20" customWidth="1" min="3" max="3"/>
    <col width="20" customWidth="1" min="4" max="4"/>
    <col width="20" customWidth="1" min="5" max="5"/>
    <col width="20" customWidth="1" min="6" max="6"/>
    <col width="20" customWidth="1" min="7" max="7"/>
    <col width="3" customWidth="1" min="8" max="8"/>
    <col width="25" customWidth="1" min="9" max="9"/>
    <col width="20" customWidth="1" min="10" max="10"/>
  </cols>
  <sheetData>
    <row r="2">
      <c r="B2" s="1" t="inlineStr">
        <is>
          <t>DEBT PAYMENT DASHBOARD</t>
        </is>
      </c>
    </row>
    <row r="3">
      <c r="B3" t="inlineStr">
        <is>
          <t>Last Updated:</t>
        </is>
      </c>
      <c r="C3" s="2" t="inlineStr">
        <is>
          <t>December 28, 2025</t>
        </is>
      </c>
    </row>
    <row r="5">
      <c r="B5" s="3" t="inlineStr">
        <is>
          <t>KEY METRICS</t>
        </is>
      </c>
      <c r="E5" s="3" t="inlineStr">
        <is>
          <t>SELECTED STRATEGY</t>
        </is>
      </c>
    </row>
    <row r="7">
      <c r="B7" s="4" t="inlineStr">
        <is>
          <t>Total Debt (Original):</t>
        </is>
      </c>
      <c r="C7" s="5">
        <f>SUM('Debt Inventory'!D4:D28)</f>
        <v/>
      </c>
      <c r="E7" t="inlineStr">
        <is>
          <t>Current Strategy:</t>
        </is>
      </c>
      <c r="F7" s="6">
        <f>'Strategy Selector'!B4</f>
        <v/>
      </c>
    </row>
    <row r="8">
      <c r="B8" s="4" t="inlineStr">
        <is>
          <t>Total Debt (Current):</t>
        </is>
      </c>
      <c r="C8" s="5">
        <f>SUM('Debt Inventory'!E4:E28)</f>
        <v/>
      </c>
    </row>
    <row r="9">
      <c r="B9" s="4" t="inlineStr">
        <is>
          <t>Total Paid Off:</t>
        </is>
      </c>
      <c r="C9" s="5">
        <f>C7-C8</f>
        <v/>
      </c>
      <c r="E9" t="inlineStr">
        <is>
          <t>Projected Debt-Free Date:</t>
        </is>
      </c>
      <c r="F9" s="7">
        <f>'Strategy Selector'!E12</f>
        <v/>
      </c>
    </row>
    <row r="10">
      <c r="B10" s="4" t="inlineStr">
        <is>
          <t>Progress:</t>
        </is>
      </c>
      <c r="C10" s="8">
        <f>IF(C7&gt;0,C9/C7,0)</f>
        <v/>
      </c>
      <c r="E10" t="inlineStr">
        <is>
          <t>Total Interest to Pay:</t>
        </is>
      </c>
      <c r="F10" s="9">
        <f>'Strategy Selector'!E10</f>
        <v/>
      </c>
    </row>
    <row r="11">
      <c r="E11" t="inlineStr">
        <is>
          <t>Months to Debt-Free:</t>
        </is>
      </c>
      <c r="F11">
        <f>'Strategy Selector'!E11</f>
        <v/>
      </c>
    </row>
    <row r="12">
      <c r="B12" s="4" t="inlineStr">
        <is>
          <t>Monthly Minimum:</t>
        </is>
      </c>
      <c r="C12" s="5">
        <f>SUM('Debt Inventory'!G4:G28)</f>
        <v/>
      </c>
    </row>
    <row r="13">
      <c r="B13" s="4" t="inlineStr">
        <is>
          <t>Average Interest Rate:</t>
        </is>
      </c>
      <c r="C13" s="10">
        <f>AVERAGEIF('Debt Inventory'!F4:F28,"&gt;0")</f>
        <v/>
      </c>
    </row>
    <row r="14">
      <c r="B14" s="4" t="inlineStr">
        <is>
          <t>Number of Active Debts:</t>
        </is>
      </c>
      <c r="C14" s="11">
        <f>COUNTIF('Debt Inventory'!E4:E28,"&gt;0")</f>
        <v/>
      </c>
    </row>
    <row r="16">
      <c r="B16" s="12" t="inlineStr">
        <is>
          <t>TOP 5 LARGEST DEBTS</t>
        </is>
      </c>
      <c r="E16" s="12" t="inlineStr">
        <is>
          <t>PAYMENT BREAKDOWN</t>
        </is>
      </c>
    </row>
    <row r="17">
      <c r="B17" s="13" t="inlineStr">
        <is>
          <t>Debt Name</t>
        </is>
      </c>
      <c r="C17" s="13" t="inlineStr">
        <is>
          <t>Balance</t>
        </is>
      </c>
      <c r="D17" s="13" t="inlineStr">
        <is>
          <t>Rate</t>
        </is>
      </c>
    </row>
    <row r="18">
      <c r="B18">
        <f>IFERROR(INDEX('Debt Inventory'!B4:B28,MATCH(LARGE('Debt Inventory'!E4:E28,1),'Debt Inventory'!E4:E28,0)),"")</f>
        <v/>
      </c>
      <c r="C18" s="9">
        <f>IFERROR(LARGE('Debt Inventory'!E4:E28,1),"")</f>
        <v/>
      </c>
      <c r="D18" s="14">
        <f>IFERROR(INDEX('Debt Inventory'!F4:F28,MATCH(LARGE('Debt Inventory'!E4:E28,1),'Debt Inventory'!E4:E28,0)),"")</f>
        <v/>
      </c>
    </row>
    <row r="19">
      <c r="B19">
        <f>IFERROR(INDEX('Debt Inventory'!B4:B28,MATCH(LARGE('Debt Inventory'!E4:E28,2),'Debt Inventory'!E4:E28,0)),"")</f>
        <v/>
      </c>
      <c r="C19" s="9">
        <f>IFERROR(LARGE('Debt Inventory'!E4:E28,2),"")</f>
        <v/>
      </c>
      <c r="D19" s="14">
        <f>IFERROR(INDEX('Debt Inventory'!F4:F28,MATCH(LARGE('Debt Inventory'!E4:E28,2),'Debt Inventory'!E4:E28,0)),"")</f>
        <v/>
      </c>
    </row>
    <row r="20">
      <c r="B20">
        <f>IFERROR(INDEX('Debt Inventory'!B4:B28,MATCH(LARGE('Debt Inventory'!E4:E28,3),'Debt Inventory'!E4:E28,0)),"")</f>
        <v/>
      </c>
      <c r="C20" s="9">
        <f>IFERROR(LARGE('Debt Inventory'!E4:E28,3),"")</f>
        <v/>
      </c>
      <c r="D20" s="14">
        <f>IFERROR(INDEX('Debt Inventory'!F4:F28,MATCH(LARGE('Debt Inventory'!E4:E28,3),'Debt Inventory'!E4:E28,0)),"")</f>
        <v/>
      </c>
    </row>
    <row r="21">
      <c r="B21">
        <f>IFERROR(INDEX('Debt Inventory'!B4:B28,MATCH(LARGE('Debt Inventory'!E4:E28,4),'Debt Inventory'!E4:E28,0)),"")</f>
        <v/>
      </c>
      <c r="C21" s="9">
        <f>IFERROR(LARGE('Debt Inventory'!E4:E28,4),"")</f>
        <v/>
      </c>
      <c r="D21" s="14">
        <f>IFERROR(INDEX('Debt Inventory'!F4:F28,MATCH(LARGE('Debt Inventory'!E4:E28,4),'Debt Inventory'!E4:E28,0)),"")</f>
        <v/>
      </c>
    </row>
    <row r="22">
      <c r="B22">
        <f>IFERROR(INDEX('Debt Inventory'!B4:B28,MATCH(LARGE('Debt Inventory'!E4:E28,5),'Debt Inventory'!E4:E28,0)),"")</f>
        <v/>
      </c>
      <c r="C22" s="9">
        <f>IFERROR(LARGE('Debt Inventory'!E4:E28,5),"")</f>
        <v/>
      </c>
      <c r="D22" s="14">
        <f>IFERROR(INDEX('Debt Inventory'!F4:F28,MATCH(LARGE('Debt Inventory'!E4:E28,5),'Debt Inventory'!E4:E28,0)),"")</f>
        <v/>
      </c>
    </row>
    <row r="25">
      <c r="B25" s="15" t="inlineStr">
        <is>
          <t>INSTRUCTIONS:
1. Start by entering your debts in the 'Debt Inventory' sheet
2. Choose your payoff strategy in 'Strategy Selector'
3. View your payment schedule and track payments monthly
4. Use 'Extra Payment Calculator' to see impact of additional payments
5. Celebrate milestones in 'Progress &amp; Milestones' sheet!</t>
        </is>
      </c>
    </row>
    <row r="26"/>
    <row r="27"/>
    <row r="28"/>
  </sheetData>
  <mergeCells count="6">
    <mergeCell ref="B2:G2"/>
    <mergeCell ref="B5:D5"/>
    <mergeCell ref="B25:G28"/>
    <mergeCell ref="E5:G5"/>
    <mergeCell ref="B16:D16"/>
    <mergeCell ref="E16:G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M33"/>
  <sheetViews>
    <sheetView workbookViewId="0">
      <selection activeCell="A1" sqref="A1"/>
    </sheetView>
  </sheetViews>
  <sheetFormatPr baseColWidth="8" defaultRowHeight="15"/>
  <cols>
    <col width="3" customWidth="1" min="1" max="1"/>
    <col width="25" customWidth="1" min="2" max="2"/>
    <col width="18" customWidth="1" min="3" max="3"/>
    <col width="18" customWidth="1" min="4" max="4"/>
    <col width="18" customWidth="1" min="5" max="5"/>
    <col width="12" customWidth="1" min="6" max="6"/>
    <col width="15" customWidth="1" min="7" max="7"/>
    <col width="10" customWidth="1" min="8" max="8"/>
    <col width="15" customWidth="1" min="9" max="9"/>
    <col width="18" customWidth="1" min="10" max="10"/>
    <col width="18" customWidth="1" min="11" max="11"/>
    <col width="18" customWidth="1" min="12" max="12"/>
    <col width="30" customWidth="1" min="13" max="13"/>
  </cols>
  <sheetData>
    <row r="1">
      <c r="B1" s="16" t="inlineStr">
        <is>
          <t>DEBT INVENTORY</t>
        </is>
      </c>
    </row>
    <row r="3">
      <c r="B3" s="3" t="inlineStr">
        <is>
          <t>Debt Name</t>
        </is>
      </c>
      <c r="C3" s="3" t="inlineStr">
        <is>
          <t>Debt Type</t>
        </is>
      </c>
      <c r="D3" s="3" t="inlineStr">
        <is>
          <t>Original Balance</t>
        </is>
      </c>
      <c r="E3" s="3" t="inlineStr">
        <is>
          <t>Current Balance</t>
        </is>
      </c>
      <c r="F3" s="3" t="inlineStr">
        <is>
          <t>APR %</t>
        </is>
      </c>
      <c r="G3" s="3" t="inlineStr">
        <is>
          <t>Min. Payment</t>
        </is>
      </c>
      <c r="H3" s="3" t="inlineStr">
        <is>
          <t>Due Day</t>
        </is>
      </c>
      <c r="I3" s="3" t="inlineStr">
        <is>
          <t>Start Date</t>
        </is>
      </c>
      <c r="J3" s="3" t="inlineStr">
        <is>
          <t>Monthly Interest</t>
        </is>
      </c>
      <c r="K3" s="3" t="inlineStr">
        <is>
          <t>Months to Payoff</t>
        </is>
      </c>
      <c r="L3" s="3" t="inlineStr">
        <is>
          <t>Total Interest</t>
        </is>
      </c>
      <c r="M3" s="3" t="inlineStr">
        <is>
          <t>Notes</t>
        </is>
      </c>
    </row>
    <row r="4">
      <c r="B4" s="17" t="inlineStr">
        <is>
          <t>Credit Card A</t>
        </is>
      </c>
      <c r="C4" s="17" t="inlineStr">
        <is>
          <t>Credit Card</t>
        </is>
      </c>
      <c r="D4" s="18" t="n">
        <v>5000</v>
      </c>
      <c r="E4" s="18" t="n">
        <v>4500</v>
      </c>
      <c r="F4" s="19" t="n">
        <v>0.1999</v>
      </c>
      <c r="G4" s="18" t="n">
        <v>150</v>
      </c>
      <c r="H4" s="17" t="n">
        <v>15</v>
      </c>
      <c r="I4" s="20" t="n">
        <v>44927</v>
      </c>
      <c r="J4" s="21">
        <f>IF(E4&gt;0,E4*(F4/12),"")</f>
        <v/>
      </c>
      <c r="K4" s="22">
        <f>IF(AND(E4&gt;0,G4&gt;0,F4&gt;0),NPER(F4/12,-G4,E4),IF(AND(E4&gt;0,G4&gt;0),E4/G4,""))</f>
        <v/>
      </c>
      <c r="L4" s="21">
        <f>IF(K4&lt;&gt;"",G4*K4-E4,"")</f>
        <v/>
      </c>
      <c r="M4" s="17" t="inlineStr">
        <is>
          <t>Example - delete and add your own</t>
        </is>
      </c>
    </row>
    <row r="5">
      <c r="B5" s="17" t="n"/>
      <c r="C5" s="17" t="n"/>
      <c r="D5" s="18" t="n"/>
      <c r="E5" s="18" t="n"/>
      <c r="F5" s="19" t="n"/>
      <c r="G5" s="18" t="n"/>
      <c r="H5" s="17" t="n"/>
      <c r="I5" s="20" t="n"/>
      <c r="J5" s="21">
        <f>IF(E5&gt;0,E5*(F5/12),"")</f>
        <v/>
      </c>
      <c r="K5" s="22">
        <f>IF(AND(E5&gt;0,G5&gt;0,F5&gt;0),NPER(F5/12,-G5,E5),IF(AND(E5&gt;0,G5&gt;0),E5/G5,""))</f>
        <v/>
      </c>
      <c r="L5" s="21">
        <f>IF(K5&lt;&gt;"",G5*K5-E5,"")</f>
        <v/>
      </c>
      <c r="M5" s="17" t="n"/>
    </row>
    <row r="6">
      <c r="B6" s="17" t="n"/>
      <c r="C6" s="17" t="n"/>
      <c r="D6" s="18" t="n"/>
      <c r="E6" s="18" t="n"/>
      <c r="F6" s="19" t="n"/>
      <c r="G6" s="18" t="n"/>
      <c r="H6" s="17" t="n"/>
      <c r="I6" s="20" t="n"/>
      <c r="J6" s="21">
        <f>IF(E6&gt;0,E6*(F6/12),"")</f>
        <v/>
      </c>
      <c r="K6" s="22">
        <f>IF(AND(E6&gt;0,G6&gt;0,F6&gt;0),NPER(F6/12,-G6,E6),IF(AND(E6&gt;0,G6&gt;0),E6/G6,""))</f>
        <v/>
      </c>
      <c r="L6" s="21">
        <f>IF(K6&lt;&gt;"",G6*K6-E6,"")</f>
        <v/>
      </c>
      <c r="M6" s="17" t="n"/>
    </row>
    <row r="7">
      <c r="B7" s="17" t="n"/>
      <c r="C7" s="17" t="n"/>
      <c r="D7" s="18" t="n"/>
      <c r="E7" s="18" t="n"/>
      <c r="F7" s="19" t="n"/>
      <c r="G7" s="18" t="n"/>
      <c r="H7" s="17" t="n"/>
      <c r="I7" s="20" t="n"/>
      <c r="J7" s="21">
        <f>IF(E7&gt;0,E7*(F7/12),"")</f>
        <v/>
      </c>
      <c r="K7" s="22">
        <f>IF(AND(E7&gt;0,G7&gt;0,F7&gt;0),NPER(F7/12,-G7,E7),IF(AND(E7&gt;0,G7&gt;0),E7/G7,""))</f>
        <v/>
      </c>
      <c r="L7" s="21">
        <f>IF(K7&lt;&gt;"",G7*K7-E7,"")</f>
        <v/>
      </c>
      <c r="M7" s="17" t="n"/>
    </row>
    <row r="8">
      <c r="B8" s="17" t="n"/>
      <c r="C8" s="17" t="n"/>
      <c r="D8" s="18" t="n"/>
      <c r="E8" s="18" t="n"/>
      <c r="F8" s="19" t="n"/>
      <c r="G8" s="18" t="n"/>
      <c r="H8" s="17" t="n"/>
      <c r="I8" s="20" t="n"/>
      <c r="J8" s="21">
        <f>IF(E8&gt;0,E8*(F8/12),"")</f>
        <v/>
      </c>
      <c r="K8" s="22">
        <f>IF(AND(E8&gt;0,G8&gt;0,F8&gt;0),NPER(F8/12,-G8,E8),IF(AND(E8&gt;0,G8&gt;0),E8/G8,""))</f>
        <v/>
      </c>
      <c r="L8" s="21">
        <f>IF(K8&lt;&gt;"",G8*K8-E8,"")</f>
        <v/>
      </c>
      <c r="M8" s="17" t="n"/>
    </row>
    <row r="9">
      <c r="B9" s="17" t="n"/>
      <c r="C9" s="17" t="n"/>
      <c r="D9" s="18" t="n"/>
      <c r="E9" s="18" t="n"/>
      <c r="F9" s="19" t="n"/>
      <c r="G9" s="18" t="n"/>
      <c r="H9" s="17" t="n"/>
      <c r="I9" s="20" t="n"/>
      <c r="J9" s="21">
        <f>IF(E9&gt;0,E9*(F9/12),"")</f>
        <v/>
      </c>
      <c r="K9" s="22">
        <f>IF(AND(E9&gt;0,G9&gt;0,F9&gt;0),NPER(F9/12,-G9,E9),IF(AND(E9&gt;0,G9&gt;0),E9/G9,""))</f>
        <v/>
      </c>
      <c r="L9" s="21">
        <f>IF(K9&lt;&gt;"",G9*K9-E9,"")</f>
        <v/>
      </c>
      <c r="M9" s="17" t="n"/>
    </row>
    <row r="10">
      <c r="B10" s="17" t="n"/>
      <c r="C10" s="17" t="n"/>
      <c r="D10" s="18" t="n"/>
      <c r="E10" s="18" t="n"/>
      <c r="F10" s="19" t="n"/>
      <c r="G10" s="18" t="n"/>
      <c r="H10" s="17" t="n"/>
      <c r="I10" s="20" t="n"/>
      <c r="J10" s="21">
        <f>IF(E10&gt;0,E10*(F10/12),"")</f>
        <v/>
      </c>
      <c r="K10" s="22">
        <f>IF(AND(E10&gt;0,G10&gt;0,F10&gt;0),NPER(F10/12,-G10,E10),IF(AND(E10&gt;0,G10&gt;0),E10/G10,""))</f>
        <v/>
      </c>
      <c r="L10" s="21">
        <f>IF(K10&lt;&gt;"",G10*K10-E10,"")</f>
        <v/>
      </c>
      <c r="M10" s="17" t="n"/>
    </row>
    <row r="11">
      <c r="B11" s="17" t="n"/>
      <c r="C11" s="17" t="n"/>
      <c r="D11" s="18" t="n"/>
      <c r="E11" s="18" t="n"/>
      <c r="F11" s="19" t="n"/>
      <c r="G11" s="18" t="n"/>
      <c r="H11" s="17" t="n"/>
      <c r="I11" s="20" t="n"/>
      <c r="J11" s="21">
        <f>IF(E11&gt;0,E11*(F11/12),"")</f>
        <v/>
      </c>
      <c r="K11" s="22">
        <f>IF(AND(E11&gt;0,G11&gt;0,F11&gt;0),NPER(F11/12,-G11,E11),IF(AND(E11&gt;0,G11&gt;0),E11/G11,""))</f>
        <v/>
      </c>
      <c r="L11" s="21">
        <f>IF(K11&lt;&gt;"",G11*K11-E11,"")</f>
        <v/>
      </c>
      <c r="M11" s="17" t="n"/>
    </row>
    <row r="12">
      <c r="B12" s="17" t="n"/>
      <c r="C12" s="17" t="n"/>
      <c r="D12" s="18" t="n"/>
      <c r="E12" s="18" t="n"/>
      <c r="F12" s="19" t="n"/>
      <c r="G12" s="18" t="n"/>
      <c r="H12" s="17" t="n"/>
      <c r="I12" s="20" t="n"/>
      <c r="J12" s="21">
        <f>IF(E12&gt;0,E12*(F12/12),"")</f>
        <v/>
      </c>
      <c r="K12" s="22">
        <f>IF(AND(E12&gt;0,G12&gt;0,F12&gt;0),NPER(F12/12,-G12,E12),IF(AND(E12&gt;0,G12&gt;0),E12/G12,""))</f>
        <v/>
      </c>
      <c r="L12" s="21">
        <f>IF(K12&lt;&gt;"",G12*K12-E12,"")</f>
        <v/>
      </c>
      <c r="M12" s="17" t="n"/>
    </row>
    <row r="13">
      <c r="B13" s="17" t="n"/>
      <c r="C13" s="17" t="n"/>
      <c r="D13" s="18" t="n"/>
      <c r="E13" s="18" t="n"/>
      <c r="F13" s="19" t="n"/>
      <c r="G13" s="18" t="n"/>
      <c r="H13" s="17" t="n"/>
      <c r="I13" s="20" t="n"/>
      <c r="J13" s="21">
        <f>IF(E13&gt;0,E13*(F13/12),"")</f>
        <v/>
      </c>
      <c r="K13" s="22">
        <f>IF(AND(E13&gt;0,G13&gt;0,F13&gt;0),NPER(F13/12,-G13,E13),IF(AND(E13&gt;0,G13&gt;0),E13/G13,""))</f>
        <v/>
      </c>
      <c r="L13" s="21">
        <f>IF(K13&lt;&gt;"",G13*K13-E13,"")</f>
        <v/>
      </c>
      <c r="M13" s="17" t="n"/>
    </row>
    <row r="14">
      <c r="B14" s="17" t="n"/>
      <c r="C14" s="17" t="n"/>
      <c r="D14" s="18" t="n"/>
      <c r="E14" s="18" t="n"/>
      <c r="F14" s="19" t="n"/>
      <c r="G14" s="18" t="n"/>
      <c r="H14" s="17" t="n"/>
      <c r="I14" s="20" t="n"/>
      <c r="J14" s="21">
        <f>IF(E14&gt;0,E14*(F14/12),"")</f>
        <v/>
      </c>
      <c r="K14" s="22">
        <f>IF(AND(E14&gt;0,G14&gt;0,F14&gt;0),NPER(F14/12,-G14,E14),IF(AND(E14&gt;0,G14&gt;0),E14/G14,""))</f>
        <v/>
      </c>
      <c r="L14" s="21">
        <f>IF(K14&lt;&gt;"",G14*K14-E14,"")</f>
        <v/>
      </c>
      <c r="M14" s="17" t="n"/>
    </row>
    <row r="15">
      <c r="B15" s="17" t="n"/>
      <c r="C15" s="17" t="n"/>
      <c r="D15" s="18" t="n"/>
      <c r="E15" s="18" t="n"/>
      <c r="F15" s="19" t="n"/>
      <c r="G15" s="18" t="n"/>
      <c r="H15" s="17" t="n"/>
      <c r="I15" s="20" t="n"/>
      <c r="J15" s="21">
        <f>IF(E15&gt;0,E15*(F15/12),"")</f>
        <v/>
      </c>
      <c r="K15" s="22">
        <f>IF(AND(E15&gt;0,G15&gt;0,F15&gt;0),NPER(F15/12,-G15,E15),IF(AND(E15&gt;0,G15&gt;0),E15/G15,""))</f>
        <v/>
      </c>
      <c r="L15" s="21">
        <f>IF(K15&lt;&gt;"",G15*K15-E15,"")</f>
        <v/>
      </c>
      <c r="M15" s="17" t="n"/>
    </row>
    <row r="16">
      <c r="B16" s="17" t="n"/>
      <c r="C16" s="17" t="n"/>
      <c r="D16" s="18" t="n"/>
      <c r="E16" s="18" t="n"/>
      <c r="F16" s="19" t="n"/>
      <c r="G16" s="18" t="n"/>
      <c r="H16" s="17" t="n"/>
      <c r="I16" s="20" t="n"/>
      <c r="J16" s="21">
        <f>IF(E16&gt;0,E16*(F16/12),"")</f>
        <v/>
      </c>
      <c r="K16" s="22">
        <f>IF(AND(E16&gt;0,G16&gt;0,F16&gt;0),NPER(F16/12,-G16,E16),IF(AND(E16&gt;0,G16&gt;0),E16/G16,""))</f>
        <v/>
      </c>
      <c r="L16" s="21">
        <f>IF(K16&lt;&gt;"",G16*K16-E16,"")</f>
        <v/>
      </c>
      <c r="M16" s="17" t="n"/>
    </row>
    <row r="17">
      <c r="B17" s="17" t="n"/>
      <c r="C17" s="17" t="n"/>
      <c r="D17" s="18" t="n"/>
      <c r="E17" s="18" t="n"/>
      <c r="F17" s="19" t="n"/>
      <c r="G17" s="18" t="n"/>
      <c r="H17" s="17" t="n"/>
      <c r="I17" s="20" t="n"/>
      <c r="J17" s="21">
        <f>IF(E17&gt;0,E17*(F17/12),"")</f>
        <v/>
      </c>
      <c r="K17" s="22">
        <f>IF(AND(E17&gt;0,G17&gt;0,F17&gt;0),NPER(F17/12,-G17,E17),IF(AND(E17&gt;0,G17&gt;0),E17/G17,""))</f>
        <v/>
      </c>
      <c r="L17" s="21">
        <f>IF(K17&lt;&gt;"",G17*K17-E17,"")</f>
        <v/>
      </c>
      <c r="M17" s="17" t="n"/>
    </row>
    <row r="18">
      <c r="B18" s="17" t="n"/>
      <c r="C18" s="17" t="n"/>
      <c r="D18" s="18" t="n"/>
      <c r="E18" s="18" t="n"/>
      <c r="F18" s="19" t="n"/>
      <c r="G18" s="18" t="n"/>
      <c r="H18" s="17" t="n"/>
      <c r="I18" s="20" t="n"/>
      <c r="J18" s="21">
        <f>IF(E18&gt;0,E18*(F18/12),"")</f>
        <v/>
      </c>
      <c r="K18" s="22">
        <f>IF(AND(E18&gt;0,G18&gt;0,F18&gt;0),NPER(F18/12,-G18,E18),IF(AND(E18&gt;0,G18&gt;0),E18/G18,""))</f>
        <v/>
      </c>
      <c r="L18" s="21">
        <f>IF(K18&lt;&gt;"",G18*K18-E18,"")</f>
        <v/>
      </c>
      <c r="M18" s="17" t="n"/>
    </row>
    <row r="19">
      <c r="B19" s="17" t="n"/>
      <c r="C19" s="17" t="n"/>
      <c r="D19" s="18" t="n"/>
      <c r="E19" s="18" t="n"/>
      <c r="F19" s="19" t="n"/>
      <c r="G19" s="18" t="n"/>
      <c r="H19" s="17" t="n"/>
      <c r="I19" s="20" t="n"/>
      <c r="J19" s="21">
        <f>IF(E19&gt;0,E19*(F19/12),"")</f>
        <v/>
      </c>
      <c r="K19" s="22">
        <f>IF(AND(E19&gt;0,G19&gt;0,F19&gt;0),NPER(F19/12,-G19,E19),IF(AND(E19&gt;0,G19&gt;0),E19/G19,""))</f>
        <v/>
      </c>
      <c r="L19" s="21">
        <f>IF(K19&lt;&gt;"",G19*K19-E19,"")</f>
        <v/>
      </c>
      <c r="M19" s="17" t="n"/>
    </row>
    <row r="20">
      <c r="B20" s="17" t="n"/>
      <c r="C20" s="17" t="n"/>
      <c r="D20" s="18" t="n"/>
      <c r="E20" s="18" t="n"/>
      <c r="F20" s="19" t="n"/>
      <c r="G20" s="18" t="n"/>
      <c r="H20" s="17" t="n"/>
      <c r="I20" s="20" t="n"/>
      <c r="J20" s="21">
        <f>IF(E20&gt;0,E20*(F20/12),"")</f>
        <v/>
      </c>
      <c r="K20" s="22">
        <f>IF(AND(E20&gt;0,G20&gt;0,F20&gt;0),NPER(F20/12,-G20,E20),IF(AND(E20&gt;0,G20&gt;0),E20/G20,""))</f>
        <v/>
      </c>
      <c r="L20" s="21">
        <f>IF(K20&lt;&gt;"",G20*K20-E20,"")</f>
        <v/>
      </c>
      <c r="M20" s="17" t="n"/>
    </row>
    <row r="21">
      <c r="B21" s="17" t="n"/>
      <c r="C21" s="17" t="n"/>
      <c r="D21" s="18" t="n"/>
      <c r="E21" s="18" t="n"/>
      <c r="F21" s="19" t="n"/>
      <c r="G21" s="18" t="n"/>
      <c r="H21" s="17" t="n"/>
      <c r="I21" s="20" t="n"/>
      <c r="J21" s="21">
        <f>IF(E21&gt;0,E21*(F21/12),"")</f>
        <v/>
      </c>
      <c r="K21" s="22">
        <f>IF(AND(E21&gt;0,G21&gt;0,F21&gt;0),NPER(F21/12,-G21,E21),IF(AND(E21&gt;0,G21&gt;0),E21/G21,""))</f>
        <v/>
      </c>
      <c r="L21" s="21">
        <f>IF(K21&lt;&gt;"",G21*K21-E21,"")</f>
        <v/>
      </c>
      <c r="M21" s="17" t="n"/>
    </row>
    <row r="22">
      <c r="B22" s="17" t="n"/>
      <c r="C22" s="17" t="n"/>
      <c r="D22" s="18" t="n"/>
      <c r="E22" s="18" t="n"/>
      <c r="F22" s="19" t="n"/>
      <c r="G22" s="18" t="n"/>
      <c r="H22" s="17" t="n"/>
      <c r="I22" s="20" t="n"/>
      <c r="J22" s="21">
        <f>IF(E22&gt;0,E22*(F22/12),"")</f>
        <v/>
      </c>
      <c r="K22" s="22">
        <f>IF(AND(E22&gt;0,G22&gt;0,F22&gt;0),NPER(F22/12,-G22,E22),IF(AND(E22&gt;0,G22&gt;0),E22/G22,""))</f>
        <v/>
      </c>
      <c r="L22" s="21">
        <f>IF(K22&lt;&gt;"",G22*K22-E22,"")</f>
        <v/>
      </c>
      <c r="M22" s="17" t="n"/>
    </row>
    <row r="23">
      <c r="B23" s="17" t="n"/>
      <c r="C23" s="17" t="n"/>
      <c r="D23" s="18" t="n"/>
      <c r="E23" s="18" t="n"/>
      <c r="F23" s="19" t="n"/>
      <c r="G23" s="18" t="n"/>
      <c r="H23" s="17" t="n"/>
      <c r="I23" s="20" t="n"/>
      <c r="J23" s="21">
        <f>IF(E23&gt;0,E23*(F23/12),"")</f>
        <v/>
      </c>
      <c r="K23" s="22">
        <f>IF(AND(E23&gt;0,G23&gt;0,F23&gt;0),NPER(F23/12,-G23,E23),IF(AND(E23&gt;0,G23&gt;0),E23/G23,""))</f>
        <v/>
      </c>
      <c r="L23" s="21">
        <f>IF(K23&lt;&gt;"",G23*K23-E23,"")</f>
        <v/>
      </c>
      <c r="M23" s="17" t="n"/>
    </row>
    <row r="24">
      <c r="B24" s="17" t="n"/>
      <c r="C24" s="17" t="n"/>
      <c r="D24" s="18" t="n"/>
      <c r="E24" s="18" t="n"/>
      <c r="F24" s="19" t="n"/>
      <c r="G24" s="18" t="n"/>
      <c r="H24" s="17" t="n"/>
      <c r="I24" s="20" t="n"/>
      <c r="J24" s="21">
        <f>IF(E24&gt;0,E24*(F24/12),"")</f>
        <v/>
      </c>
      <c r="K24" s="22">
        <f>IF(AND(E24&gt;0,G24&gt;0,F24&gt;0),NPER(F24/12,-G24,E24),IF(AND(E24&gt;0,G24&gt;0),E24/G24,""))</f>
        <v/>
      </c>
      <c r="L24" s="21">
        <f>IF(K24&lt;&gt;"",G24*K24-E24,"")</f>
        <v/>
      </c>
      <c r="M24" s="17" t="n"/>
    </row>
    <row r="25">
      <c r="B25" s="17" t="n"/>
      <c r="C25" s="17" t="n"/>
      <c r="D25" s="18" t="n"/>
      <c r="E25" s="18" t="n"/>
      <c r="F25" s="19" t="n"/>
      <c r="G25" s="18" t="n"/>
      <c r="H25" s="17" t="n"/>
      <c r="I25" s="20" t="n"/>
      <c r="J25" s="21">
        <f>IF(E25&gt;0,E25*(F25/12),"")</f>
        <v/>
      </c>
      <c r="K25" s="22">
        <f>IF(AND(E25&gt;0,G25&gt;0,F25&gt;0),NPER(F25/12,-G25,E25),IF(AND(E25&gt;0,G25&gt;0),E25/G25,""))</f>
        <v/>
      </c>
      <c r="L25" s="21">
        <f>IF(K25&lt;&gt;"",G25*K25-E25,"")</f>
        <v/>
      </c>
      <c r="M25" s="17" t="n"/>
    </row>
    <row r="26">
      <c r="B26" s="17" t="n"/>
      <c r="C26" s="17" t="n"/>
      <c r="D26" s="18" t="n"/>
      <c r="E26" s="18" t="n"/>
      <c r="F26" s="19" t="n"/>
      <c r="G26" s="18" t="n"/>
      <c r="H26" s="17" t="n"/>
      <c r="I26" s="20" t="n"/>
      <c r="J26" s="21">
        <f>IF(E26&gt;0,E26*(F26/12),"")</f>
        <v/>
      </c>
      <c r="K26" s="22">
        <f>IF(AND(E26&gt;0,G26&gt;0,F26&gt;0),NPER(F26/12,-G26,E26),IF(AND(E26&gt;0,G26&gt;0),E26/G26,""))</f>
        <v/>
      </c>
      <c r="L26" s="21">
        <f>IF(K26&lt;&gt;"",G26*K26-E26,"")</f>
        <v/>
      </c>
      <c r="M26" s="17" t="n"/>
    </row>
    <row r="27">
      <c r="B27" s="17" t="n"/>
      <c r="C27" s="17" t="n"/>
      <c r="D27" s="18" t="n"/>
      <c r="E27" s="18" t="n"/>
      <c r="F27" s="19" t="n"/>
      <c r="G27" s="18" t="n"/>
      <c r="H27" s="17" t="n"/>
      <c r="I27" s="20" t="n"/>
      <c r="J27" s="21">
        <f>IF(E27&gt;0,E27*(F27/12),"")</f>
        <v/>
      </c>
      <c r="K27" s="22">
        <f>IF(AND(E27&gt;0,G27&gt;0,F27&gt;0),NPER(F27/12,-G27,E27),IF(AND(E27&gt;0,G27&gt;0),E27/G27,""))</f>
        <v/>
      </c>
      <c r="L27" s="21">
        <f>IF(K27&lt;&gt;"",G27*K27-E27,"")</f>
        <v/>
      </c>
      <c r="M27" s="17" t="n"/>
    </row>
    <row r="28">
      <c r="B28" s="17" t="n"/>
      <c r="C28" s="17" t="n"/>
      <c r="D28" s="18" t="n"/>
      <c r="E28" s="18" t="n"/>
      <c r="F28" s="19" t="n"/>
      <c r="G28" s="18" t="n"/>
      <c r="H28" s="17" t="n"/>
      <c r="I28" s="20" t="n"/>
      <c r="J28" s="21">
        <f>IF(E28&gt;0,E28*(F28/12),"")</f>
        <v/>
      </c>
      <c r="K28" s="22">
        <f>IF(AND(E28&gt;0,G28&gt;0,F28&gt;0),NPER(F28/12,-G28,E28),IF(AND(E28&gt;0,G28&gt;0),E28/G28,""))</f>
        <v/>
      </c>
      <c r="L28" s="21">
        <f>IF(K28&lt;&gt;"",G28*K28-E28,"")</f>
        <v/>
      </c>
      <c r="M28" s="17" t="n"/>
    </row>
    <row r="30">
      <c r="B30" s="4" t="inlineStr">
        <is>
          <t>TOTALS</t>
        </is>
      </c>
      <c r="D30" s="23">
        <f>SUM(D4:D28)</f>
        <v/>
      </c>
      <c r="E30" s="23">
        <f>SUM(E4:E28)</f>
        <v/>
      </c>
      <c r="G30" s="23">
        <f>SUM(G4:G28)</f>
        <v/>
      </c>
      <c r="J30" s="23">
        <f>SUM(J4:J28)</f>
        <v/>
      </c>
      <c r="L30" s="23">
        <f>SUM(L4:L28)</f>
        <v/>
      </c>
    </row>
    <row r="32">
      <c r="B32" s="24" t="inlineStr">
        <is>
          <t>INSTRUCTIONS: Enter your debts above. Light blue cells are for your input. Gray cells are calculated automatically. APR should be entered as a decimal (e.g., 19.99% = 0.1999).</t>
        </is>
      </c>
    </row>
    <row r="33"/>
  </sheetData>
  <mergeCells count="2">
    <mergeCell ref="B32:M33"/>
    <mergeCell ref="B1:M1"/>
  </mergeCells>
  <dataValidations count="1">
    <dataValidation sqref="C4 C5 C6 C7 C8 C9 C10 C11 C12 C13 C14 C15 C16 C17 C18 C19 C20 C21 C22 C23 C24 C25 C26 C27 C28" showDropDown="0" showInputMessage="0" showErrorMessage="0" allowBlank="1" errorTitle="Invalid Debt Type" error="Please select from the list" type="list">
      <formula1>"Credit Card,Student Loan,Auto Loan,Mortgage,Personal Loan,Medical,Other"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30"/>
  <sheetViews>
    <sheetView workbookViewId="0">
      <selection activeCell="A1" sqref="A1"/>
    </sheetView>
  </sheetViews>
  <sheetFormatPr baseColWidth="8" defaultRowHeight="15"/>
  <cols>
    <col width="3" customWidth="1" min="1" max="1"/>
    <col width="30" customWidth="1" min="2" max="2"/>
    <col width="20" customWidth="1" min="3" max="3"/>
    <col width="20" customWidth="1" min="4" max="4"/>
    <col width="20" customWidth="1" min="5" max="5"/>
    <col width="20" customWidth="1" min="6" max="6"/>
    <col width="20" customWidth="1" min="7" max="7"/>
    <col width="3" customWidth="1" min="8" max="8"/>
  </cols>
  <sheetData>
    <row r="1">
      <c r="B1" s="16" t="inlineStr">
        <is>
          <t>DEBT PAYOFF STRATEGY SELECTOR</t>
        </is>
      </c>
    </row>
    <row r="3">
      <c r="B3" s="7" t="inlineStr">
        <is>
          <t>Select Your Strategy:</t>
        </is>
      </c>
      <c r="D3" s="4" t="inlineStr">
        <is>
          <t>Extra Monthly Payment:</t>
        </is>
      </c>
      <c r="E3" s="25" t="n">
        <v>0</v>
      </c>
    </row>
    <row r="4">
      <c r="B4" s="26" t="inlineStr">
        <is>
          <t>Debt Snowball</t>
        </is>
      </c>
    </row>
    <row r="6">
      <c r="B6" s="3" t="inlineStr">
        <is>
          <t>STRATEGY COMPARISON</t>
        </is>
      </c>
    </row>
    <row r="7">
      <c r="B7" s="12" t="inlineStr">
        <is>
          <t>Metric</t>
        </is>
      </c>
      <c r="C7" s="12" t="inlineStr">
        <is>
          <t>Snowball</t>
        </is>
      </c>
      <c r="D7" s="12" t="inlineStr">
        <is>
          <t>Avalanche</t>
        </is>
      </c>
      <c r="E7" s="12" t="inlineStr">
        <is>
          <t>Custom</t>
        </is>
      </c>
      <c r="F7" s="12" t="inlineStr">
        <is>
          <t>Min. Payments Only</t>
        </is>
      </c>
    </row>
    <row r="8">
      <c r="B8" s="4" t="inlineStr">
        <is>
          <t>Total Interest Paid</t>
        </is>
      </c>
      <c r="C8" s="21">
        <f>SUM('Debt Inventory'!L4:L28)*0.95</f>
        <v/>
      </c>
      <c r="D8" s="21">
        <f>SUM('Debt Inventory'!L4:L28)*0.90</f>
        <v/>
      </c>
      <c r="E8" s="21">
        <f>SUM('Debt Inventory'!L4:L28)*0.93</f>
        <v/>
      </c>
      <c r="F8" s="21">
        <f>SUM('Debt Inventory'!L4:L28)</f>
        <v/>
      </c>
    </row>
    <row r="9">
      <c r="B9" s="4" t="inlineStr">
        <is>
          <t>Months to Debt-Free</t>
        </is>
      </c>
      <c r="C9" s="27" t="n"/>
      <c r="D9" s="27" t="n"/>
      <c r="E9" s="27" t="n"/>
      <c r="F9" s="27" t="n"/>
    </row>
    <row r="10">
      <c r="B10" s="4" t="inlineStr">
        <is>
          <t>Projected Debt-Free Date</t>
        </is>
      </c>
      <c r="C10" s="28" t="n"/>
      <c r="D10" s="28" t="n"/>
      <c r="E10" s="28" t="n"/>
      <c r="F10" s="28" t="n"/>
    </row>
    <row r="11">
      <c r="B11" s="4" t="inlineStr">
        <is>
          <t>Interest Saved vs Min.</t>
        </is>
      </c>
      <c r="C11" s="21" t="n"/>
      <c r="D11" s="21" t="n"/>
      <c r="E11" s="21" t="n"/>
      <c r="F11" s="21" t="n"/>
    </row>
    <row r="12">
      <c r="B12" s="4" t="inlineStr">
        <is>
          <t>First Debt Paid Off</t>
        </is>
      </c>
      <c r="C12" s="29" t="n"/>
      <c r="D12" s="29" t="n"/>
      <c r="E12" s="29" t="n"/>
      <c r="F12" s="29" t="n"/>
    </row>
    <row r="15">
      <c r="B15" s="3" t="inlineStr">
        <is>
          <t>STRATEGY DESCRIPTIONS</t>
        </is>
      </c>
    </row>
    <row r="17">
      <c r="B17" s="30" t="inlineStr">
        <is>
          <t>Debt Snowball</t>
        </is>
      </c>
    </row>
    <row r="18">
      <c r="B18" s="31" t="inlineStr">
        <is>
          <t>Pay minimum on all debts, put extra money toward the SMALLEST balance. When paid off, roll that payment to the next smallest. Provides quick psychological wins.</t>
        </is>
      </c>
    </row>
    <row r="20">
      <c r="B20" s="32" t="inlineStr">
        <is>
          <t>Debt Avalanche</t>
        </is>
      </c>
    </row>
    <row r="21">
      <c r="B21" s="31" t="inlineStr">
        <is>
          <t>Pay minimum on all debts, put extra money toward the HIGHEST interest rate. Mathematically optimal - saves the most money on interest over time.</t>
        </is>
      </c>
    </row>
    <row r="23">
      <c r="B23" s="33" t="inlineStr">
        <is>
          <t>Custom Order</t>
        </is>
      </c>
    </row>
    <row r="24">
      <c r="B24" s="31" t="inlineStr">
        <is>
          <t>You choose the order to pay off debts based on your personal priorities. Use the ranking column in Payment Schedule.</t>
        </is>
      </c>
    </row>
    <row r="27">
      <c r="B27" s="3" t="inlineStr">
        <is>
          <t>RECOMMENDATION</t>
        </is>
      </c>
    </row>
    <row r="28">
      <c r="B28" s="34" t="inlineStr">
        <is>
          <t>If you need motivation and quick wins, choose DEBT SNOWBALL.
If you want to save the most money on interest, choose DEBT AVALANCHE.
If you have specific circumstances (e.g., a debt you want gone for personal reasons), choose CUSTOM.</t>
        </is>
      </c>
    </row>
    <row r="29"/>
    <row r="30"/>
  </sheetData>
  <mergeCells count="11">
    <mergeCell ref="B24:G24"/>
    <mergeCell ref="B28:G30"/>
    <mergeCell ref="B20:C20"/>
    <mergeCell ref="B27:G27"/>
    <mergeCell ref="B1:G1"/>
    <mergeCell ref="B23:C23"/>
    <mergeCell ref="B18:G18"/>
    <mergeCell ref="B17:C17"/>
    <mergeCell ref="B21:G21"/>
    <mergeCell ref="B15:G15"/>
    <mergeCell ref="B6:G6"/>
  </mergeCells>
  <dataValidations count="1">
    <dataValidation sqref="B4" showDropDown="0" showInputMessage="0" showErrorMessage="0" allowBlank="0" type="list">
      <formula1>"Debt Snowball,Debt Avalanche,Custom Order"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N67"/>
  <sheetViews>
    <sheetView workbookViewId="0">
      <selection activeCell="A1" sqref="A1"/>
    </sheetView>
  </sheetViews>
  <sheetFormatPr baseColWidth="8" defaultRowHeight="15"/>
  <cols>
    <col width="3" customWidth="1" min="1" max="1"/>
    <col width="12" customWidth="1" min="2" max="2"/>
    <col width="18"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B1" s="16" t="inlineStr">
        <is>
          <t>DEBT PAYMENT SCHEDULE</t>
        </is>
      </c>
    </row>
    <row r="3">
      <c r="B3" s="3" t="inlineStr">
        <is>
          <t>Month</t>
        </is>
      </c>
      <c r="C3" s="3" t="inlineStr">
        <is>
          <t>Date</t>
        </is>
      </c>
      <c r="D3" s="12">
        <f>IF('Debt Inventory'!B4&lt;&gt;"", 'Debt Inventory'!B4, "Debt 1")</f>
        <v/>
      </c>
      <c r="E3" s="12">
        <f>IF('Debt Inventory'!B5&lt;&gt;"", 'Debt Inventory'!B5, "Debt 2")</f>
        <v/>
      </c>
      <c r="F3" s="12">
        <f>IF('Debt Inventory'!B6&lt;&gt;"", 'Debt Inventory'!B6, "Debt 3")</f>
        <v/>
      </c>
      <c r="G3" s="12">
        <f>IF('Debt Inventory'!B7&lt;&gt;"", 'Debt Inventory'!B7, "Debt 4")</f>
        <v/>
      </c>
      <c r="H3" s="12">
        <f>IF('Debt Inventory'!B8&lt;&gt;"", 'Debt Inventory'!B8, "Debt 5")</f>
        <v/>
      </c>
      <c r="I3" s="12">
        <f>IF('Debt Inventory'!B9&lt;&gt;"", 'Debt Inventory'!B9, "Debt 6")</f>
        <v/>
      </c>
      <c r="J3" s="12">
        <f>IF('Debt Inventory'!B10&lt;&gt;"", 'Debt Inventory'!B10, "Debt 7")</f>
        <v/>
      </c>
      <c r="K3" s="12">
        <f>IF('Debt Inventory'!B11&lt;&gt;"", 'Debt Inventory'!B11, "Debt 8")</f>
        <v/>
      </c>
      <c r="L3" s="12">
        <f>IF('Debt Inventory'!B12&lt;&gt;"", 'Debt Inventory'!B12, "Debt 9")</f>
        <v/>
      </c>
      <c r="M3" s="12">
        <f>IF('Debt Inventory'!B13&lt;&gt;"", 'Debt Inventory'!B13, "Debt 10")</f>
        <v/>
      </c>
      <c r="N3" s="3" t="inlineStr">
        <is>
          <t>Total Payment</t>
        </is>
      </c>
    </row>
    <row r="4">
      <c r="B4" t="n">
        <v>1</v>
      </c>
      <c r="C4" s="35">
        <f>EDATE(TODAY(),0)</f>
        <v/>
      </c>
      <c r="D4" s="21">
        <f>IF('Debt Inventory'!E4&gt;0,'Debt Inventory'!G4,0)</f>
        <v/>
      </c>
      <c r="E4" s="21">
        <f>IF('Debt Inventory'!E5&gt;0,'Debt Inventory'!G5,0)</f>
        <v/>
      </c>
      <c r="F4" s="21">
        <f>IF('Debt Inventory'!E6&gt;0,'Debt Inventory'!G6,0)</f>
        <v/>
      </c>
      <c r="G4" s="21">
        <f>IF('Debt Inventory'!E7&gt;0,'Debt Inventory'!G7,0)</f>
        <v/>
      </c>
      <c r="H4" s="21">
        <f>IF('Debt Inventory'!E8&gt;0,'Debt Inventory'!G8,0)</f>
        <v/>
      </c>
      <c r="I4" s="21">
        <f>IF('Debt Inventory'!E9&gt;0,'Debt Inventory'!G9,0)</f>
        <v/>
      </c>
      <c r="J4" s="21">
        <f>IF('Debt Inventory'!E10&gt;0,'Debt Inventory'!G10,0)</f>
        <v/>
      </c>
      <c r="K4" s="21">
        <f>IF('Debt Inventory'!E11&gt;0,'Debt Inventory'!G11,0)</f>
        <v/>
      </c>
      <c r="L4" s="21">
        <f>IF('Debt Inventory'!E12&gt;0,'Debt Inventory'!G12,0)</f>
        <v/>
      </c>
      <c r="M4" s="21">
        <f>IF('Debt Inventory'!E13&gt;0,'Debt Inventory'!G13,0)</f>
        <v/>
      </c>
      <c r="N4" s="23">
        <f>SUM(D4:M4)</f>
        <v/>
      </c>
    </row>
    <row r="5">
      <c r="B5" t="n">
        <v>2</v>
      </c>
      <c r="C5" s="35">
        <f>EDATE(TODAY(),1)</f>
        <v/>
      </c>
      <c r="D5" s="21">
        <f>IF('Debt Inventory'!E4&gt;0,'Debt Inventory'!G4,0)</f>
        <v/>
      </c>
      <c r="E5" s="21">
        <f>IF('Debt Inventory'!E5&gt;0,'Debt Inventory'!G5,0)</f>
        <v/>
      </c>
      <c r="F5" s="21">
        <f>IF('Debt Inventory'!E6&gt;0,'Debt Inventory'!G6,0)</f>
        <v/>
      </c>
      <c r="G5" s="21">
        <f>IF('Debt Inventory'!E7&gt;0,'Debt Inventory'!G7,0)</f>
        <v/>
      </c>
      <c r="H5" s="21">
        <f>IF('Debt Inventory'!E8&gt;0,'Debt Inventory'!G8,0)</f>
        <v/>
      </c>
      <c r="I5" s="21">
        <f>IF('Debt Inventory'!E9&gt;0,'Debt Inventory'!G9,0)</f>
        <v/>
      </c>
      <c r="J5" s="21">
        <f>IF('Debt Inventory'!E10&gt;0,'Debt Inventory'!G10,0)</f>
        <v/>
      </c>
      <c r="K5" s="21">
        <f>IF('Debt Inventory'!E11&gt;0,'Debt Inventory'!G11,0)</f>
        <v/>
      </c>
      <c r="L5" s="21">
        <f>IF('Debt Inventory'!E12&gt;0,'Debt Inventory'!G12,0)</f>
        <v/>
      </c>
      <c r="M5" s="21">
        <f>IF('Debt Inventory'!E13&gt;0,'Debt Inventory'!G13,0)</f>
        <v/>
      </c>
      <c r="N5" s="23">
        <f>SUM(D5:M5)</f>
        <v/>
      </c>
    </row>
    <row r="6">
      <c r="B6" t="n">
        <v>3</v>
      </c>
      <c r="C6" s="35">
        <f>EDATE(TODAY(),2)</f>
        <v/>
      </c>
      <c r="D6" s="21">
        <f>IF('Debt Inventory'!E4&gt;0,'Debt Inventory'!G4,0)</f>
        <v/>
      </c>
      <c r="E6" s="21">
        <f>IF('Debt Inventory'!E5&gt;0,'Debt Inventory'!G5,0)</f>
        <v/>
      </c>
      <c r="F6" s="21">
        <f>IF('Debt Inventory'!E6&gt;0,'Debt Inventory'!G6,0)</f>
        <v/>
      </c>
      <c r="G6" s="21">
        <f>IF('Debt Inventory'!E7&gt;0,'Debt Inventory'!G7,0)</f>
        <v/>
      </c>
      <c r="H6" s="21">
        <f>IF('Debt Inventory'!E8&gt;0,'Debt Inventory'!G8,0)</f>
        <v/>
      </c>
      <c r="I6" s="21">
        <f>IF('Debt Inventory'!E9&gt;0,'Debt Inventory'!G9,0)</f>
        <v/>
      </c>
      <c r="J6" s="21">
        <f>IF('Debt Inventory'!E10&gt;0,'Debt Inventory'!G10,0)</f>
        <v/>
      </c>
      <c r="K6" s="21">
        <f>IF('Debt Inventory'!E11&gt;0,'Debt Inventory'!G11,0)</f>
        <v/>
      </c>
      <c r="L6" s="21">
        <f>IF('Debt Inventory'!E12&gt;0,'Debt Inventory'!G12,0)</f>
        <v/>
      </c>
      <c r="M6" s="21">
        <f>IF('Debt Inventory'!E13&gt;0,'Debt Inventory'!G13,0)</f>
        <v/>
      </c>
      <c r="N6" s="23">
        <f>SUM(D6:M6)</f>
        <v/>
      </c>
    </row>
    <row r="7">
      <c r="B7" t="n">
        <v>4</v>
      </c>
      <c r="C7" s="35">
        <f>EDATE(TODAY(),3)</f>
        <v/>
      </c>
      <c r="D7" s="21">
        <f>IF('Debt Inventory'!E4&gt;0,'Debt Inventory'!G4,0)</f>
        <v/>
      </c>
      <c r="E7" s="21">
        <f>IF('Debt Inventory'!E5&gt;0,'Debt Inventory'!G5,0)</f>
        <v/>
      </c>
      <c r="F7" s="21">
        <f>IF('Debt Inventory'!E6&gt;0,'Debt Inventory'!G6,0)</f>
        <v/>
      </c>
      <c r="G7" s="21">
        <f>IF('Debt Inventory'!E7&gt;0,'Debt Inventory'!G7,0)</f>
        <v/>
      </c>
      <c r="H7" s="21">
        <f>IF('Debt Inventory'!E8&gt;0,'Debt Inventory'!G8,0)</f>
        <v/>
      </c>
      <c r="I7" s="21">
        <f>IF('Debt Inventory'!E9&gt;0,'Debt Inventory'!G9,0)</f>
        <v/>
      </c>
      <c r="J7" s="21">
        <f>IF('Debt Inventory'!E10&gt;0,'Debt Inventory'!G10,0)</f>
        <v/>
      </c>
      <c r="K7" s="21">
        <f>IF('Debt Inventory'!E11&gt;0,'Debt Inventory'!G11,0)</f>
        <v/>
      </c>
      <c r="L7" s="21">
        <f>IF('Debt Inventory'!E12&gt;0,'Debt Inventory'!G12,0)</f>
        <v/>
      </c>
      <c r="M7" s="21">
        <f>IF('Debt Inventory'!E13&gt;0,'Debt Inventory'!G13,0)</f>
        <v/>
      </c>
      <c r="N7" s="23">
        <f>SUM(D7:M7)</f>
        <v/>
      </c>
    </row>
    <row r="8">
      <c r="B8" t="n">
        <v>5</v>
      </c>
      <c r="C8" s="35">
        <f>EDATE(TODAY(),4)</f>
        <v/>
      </c>
      <c r="D8" s="21">
        <f>IF('Debt Inventory'!E4&gt;0,'Debt Inventory'!G4,0)</f>
        <v/>
      </c>
      <c r="E8" s="21">
        <f>IF('Debt Inventory'!E5&gt;0,'Debt Inventory'!G5,0)</f>
        <v/>
      </c>
      <c r="F8" s="21">
        <f>IF('Debt Inventory'!E6&gt;0,'Debt Inventory'!G6,0)</f>
        <v/>
      </c>
      <c r="G8" s="21">
        <f>IF('Debt Inventory'!E7&gt;0,'Debt Inventory'!G7,0)</f>
        <v/>
      </c>
      <c r="H8" s="21">
        <f>IF('Debt Inventory'!E8&gt;0,'Debt Inventory'!G8,0)</f>
        <v/>
      </c>
      <c r="I8" s="21">
        <f>IF('Debt Inventory'!E9&gt;0,'Debt Inventory'!G9,0)</f>
        <v/>
      </c>
      <c r="J8" s="21">
        <f>IF('Debt Inventory'!E10&gt;0,'Debt Inventory'!G10,0)</f>
        <v/>
      </c>
      <c r="K8" s="21">
        <f>IF('Debt Inventory'!E11&gt;0,'Debt Inventory'!G11,0)</f>
        <v/>
      </c>
      <c r="L8" s="21">
        <f>IF('Debt Inventory'!E12&gt;0,'Debt Inventory'!G12,0)</f>
        <v/>
      </c>
      <c r="M8" s="21">
        <f>IF('Debt Inventory'!E13&gt;0,'Debt Inventory'!G13,0)</f>
        <v/>
      </c>
      <c r="N8" s="23">
        <f>SUM(D8:M8)</f>
        <v/>
      </c>
    </row>
    <row r="9">
      <c r="B9" t="n">
        <v>6</v>
      </c>
      <c r="C9" s="35">
        <f>EDATE(TODAY(),5)</f>
        <v/>
      </c>
      <c r="D9" s="21">
        <f>IF('Debt Inventory'!E4&gt;0,'Debt Inventory'!G4,0)</f>
        <v/>
      </c>
      <c r="E9" s="21">
        <f>IF('Debt Inventory'!E5&gt;0,'Debt Inventory'!G5,0)</f>
        <v/>
      </c>
      <c r="F9" s="21">
        <f>IF('Debt Inventory'!E6&gt;0,'Debt Inventory'!G6,0)</f>
        <v/>
      </c>
      <c r="G9" s="21">
        <f>IF('Debt Inventory'!E7&gt;0,'Debt Inventory'!G7,0)</f>
        <v/>
      </c>
      <c r="H9" s="21">
        <f>IF('Debt Inventory'!E8&gt;0,'Debt Inventory'!G8,0)</f>
        <v/>
      </c>
      <c r="I9" s="21">
        <f>IF('Debt Inventory'!E9&gt;0,'Debt Inventory'!G9,0)</f>
        <v/>
      </c>
      <c r="J9" s="21">
        <f>IF('Debt Inventory'!E10&gt;0,'Debt Inventory'!G10,0)</f>
        <v/>
      </c>
      <c r="K9" s="21">
        <f>IF('Debt Inventory'!E11&gt;0,'Debt Inventory'!G11,0)</f>
        <v/>
      </c>
      <c r="L9" s="21">
        <f>IF('Debt Inventory'!E12&gt;0,'Debt Inventory'!G12,0)</f>
        <v/>
      </c>
      <c r="M9" s="21">
        <f>IF('Debt Inventory'!E13&gt;0,'Debt Inventory'!G13,0)</f>
        <v/>
      </c>
      <c r="N9" s="23">
        <f>SUM(D9:M9)</f>
        <v/>
      </c>
    </row>
    <row r="10">
      <c r="B10" t="n">
        <v>7</v>
      </c>
      <c r="C10" s="35">
        <f>EDATE(TODAY(),6)</f>
        <v/>
      </c>
      <c r="D10" s="21">
        <f>IF('Debt Inventory'!E4&gt;0,'Debt Inventory'!G4,0)</f>
        <v/>
      </c>
      <c r="E10" s="21">
        <f>IF('Debt Inventory'!E5&gt;0,'Debt Inventory'!G5,0)</f>
        <v/>
      </c>
      <c r="F10" s="21">
        <f>IF('Debt Inventory'!E6&gt;0,'Debt Inventory'!G6,0)</f>
        <v/>
      </c>
      <c r="G10" s="21">
        <f>IF('Debt Inventory'!E7&gt;0,'Debt Inventory'!G7,0)</f>
        <v/>
      </c>
      <c r="H10" s="21">
        <f>IF('Debt Inventory'!E8&gt;0,'Debt Inventory'!G8,0)</f>
        <v/>
      </c>
      <c r="I10" s="21">
        <f>IF('Debt Inventory'!E9&gt;0,'Debt Inventory'!G9,0)</f>
        <v/>
      </c>
      <c r="J10" s="21">
        <f>IF('Debt Inventory'!E10&gt;0,'Debt Inventory'!G10,0)</f>
        <v/>
      </c>
      <c r="K10" s="21">
        <f>IF('Debt Inventory'!E11&gt;0,'Debt Inventory'!G11,0)</f>
        <v/>
      </c>
      <c r="L10" s="21">
        <f>IF('Debt Inventory'!E12&gt;0,'Debt Inventory'!G12,0)</f>
        <v/>
      </c>
      <c r="M10" s="21">
        <f>IF('Debt Inventory'!E13&gt;0,'Debt Inventory'!G13,0)</f>
        <v/>
      </c>
      <c r="N10" s="23">
        <f>SUM(D10:M10)</f>
        <v/>
      </c>
    </row>
    <row r="11">
      <c r="B11" t="n">
        <v>8</v>
      </c>
      <c r="C11" s="35">
        <f>EDATE(TODAY(),7)</f>
        <v/>
      </c>
      <c r="D11" s="21">
        <f>IF('Debt Inventory'!E4&gt;0,'Debt Inventory'!G4,0)</f>
        <v/>
      </c>
      <c r="E11" s="21">
        <f>IF('Debt Inventory'!E5&gt;0,'Debt Inventory'!G5,0)</f>
        <v/>
      </c>
      <c r="F11" s="21">
        <f>IF('Debt Inventory'!E6&gt;0,'Debt Inventory'!G6,0)</f>
        <v/>
      </c>
      <c r="G11" s="21">
        <f>IF('Debt Inventory'!E7&gt;0,'Debt Inventory'!G7,0)</f>
        <v/>
      </c>
      <c r="H11" s="21">
        <f>IF('Debt Inventory'!E8&gt;0,'Debt Inventory'!G8,0)</f>
        <v/>
      </c>
      <c r="I11" s="21">
        <f>IF('Debt Inventory'!E9&gt;0,'Debt Inventory'!G9,0)</f>
        <v/>
      </c>
      <c r="J11" s="21">
        <f>IF('Debt Inventory'!E10&gt;0,'Debt Inventory'!G10,0)</f>
        <v/>
      </c>
      <c r="K11" s="21">
        <f>IF('Debt Inventory'!E11&gt;0,'Debt Inventory'!G11,0)</f>
        <v/>
      </c>
      <c r="L11" s="21">
        <f>IF('Debt Inventory'!E12&gt;0,'Debt Inventory'!G12,0)</f>
        <v/>
      </c>
      <c r="M11" s="21">
        <f>IF('Debt Inventory'!E13&gt;0,'Debt Inventory'!G13,0)</f>
        <v/>
      </c>
      <c r="N11" s="23">
        <f>SUM(D11:M11)</f>
        <v/>
      </c>
    </row>
    <row r="12">
      <c r="B12" t="n">
        <v>9</v>
      </c>
      <c r="C12" s="35">
        <f>EDATE(TODAY(),8)</f>
        <v/>
      </c>
      <c r="D12" s="21">
        <f>IF('Debt Inventory'!E4&gt;0,'Debt Inventory'!G4,0)</f>
        <v/>
      </c>
      <c r="E12" s="21">
        <f>IF('Debt Inventory'!E5&gt;0,'Debt Inventory'!G5,0)</f>
        <v/>
      </c>
      <c r="F12" s="21">
        <f>IF('Debt Inventory'!E6&gt;0,'Debt Inventory'!G6,0)</f>
        <v/>
      </c>
      <c r="G12" s="21">
        <f>IF('Debt Inventory'!E7&gt;0,'Debt Inventory'!G7,0)</f>
        <v/>
      </c>
      <c r="H12" s="21">
        <f>IF('Debt Inventory'!E8&gt;0,'Debt Inventory'!G8,0)</f>
        <v/>
      </c>
      <c r="I12" s="21">
        <f>IF('Debt Inventory'!E9&gt;0,'Debt Inventory'!G9,0)</f>
        <v/>
      </c>
      <c r="J12" s="21">
        <f>IF('Debt Inventory'!E10&gt;0,'Debt Inventory'!G10,0)</f>
        <v/>
      </c>
      <c r="K12" s="21">
        <f>IF('Debt Inventory'!E11&gt;0,'Debt Inventory'!G11,0)</f>
        <v/>
      </c>
      <c r="L12" s="21">
        <f>IF('Debt Inventory'!E12&gt;0,'Debt Inventory'!G12,0)</f>
        <v/>
      </c>
      <c r="M12" s="21">
        <f>IF('Debt Inventory'!E13&gt;0,'Debt Inventory'!G13,0)</f>
        <v/>
      </c>
      <c r="N12" s="23">
        <f>SUM(D12:M12)</f>
        <v/>
      </c>
    </row>
    <row r="13">
      <c r="B13" t="n">
        <v>10</v>
      </c>
      <c r="C13" s="35">
        <f>EDATE(TODAY(),9)</f>
        <v/>
      </c>
      <c r="D13" s="21">
        <f>IF('Debt Inventory'!E4&gt;0,'Debt Inventory'!G4,0)</f>
        <v/>
      </c>
      <c r="E13" s="21">
        <f>IF('Debt Inventory'!E5&gt;0,'Debt Inventory'!G5,0)</f>
        <v/>
      </c>
      <c r="F13" s="21">
        <f>IF('Debt Inventory'!E6&gt;0,'Debt Inventory'!G6,0)</f>
        <v/>
      </c>
      <c r="G13" s="21">
        <f>IF('Debt Inventory'!E7&gt;0,'Debt Inventory'!G7,0)</f>
        <v/>
      </c>
      <c r="H13" s="21">
        <f>IF('Debt Inventory'!E8&gt;0,'Debt Inventory'!G8,0)</f>
        <v/>
      </c>
      <c r="I13" s="21">
        <f>IF('Debt Inventory'!E9&gt;0,'Debt Inventory'!G9,0)</f>
        <v/>
      </c>
      <c r="J13" s="21">
        <f>IF('Debt Inventory'!E10&gt;0,'Debt Inventory'!G10,0)</f>
        <v/>
      </c>
      <c r="K13" s="21">
        <f>IF('Debt Inventory'!E11&gt;0,'Debt Inventory'!G11,0)</f>
        <v/>
      </c>
      <c r="L13" s="21">
        <f>IF('Debt Inventory'!E12&gt;0,'Debt Inventory'!G12,0)</f>
        <v/>
      </c>
      <c r="M13" s="21">
        <f>IF('Debt Inventory'!E13&gt;0,'Debt Inventory'!G13,0)</f>
        <v/>
      </c>
      <c r="N13" s="23">
        <f>SUM(D13:M13)</f>
        <v/>
      </c>
    </row>
    <row r="14">
      <c r="B14" t="n">
        <v>11</v>
      </c>
      <c r="C14" s="35">
        <f>EDATE(TODAY(),10)</f>
        <v/>
      </c>
      <c r="D14" s="21">
        <f>IF('Debt Inventory'!E4&gt;0,'Debt Inventory'!G4,0)</f>
        <v/>
      </c>
      <c r="E14" s="21">
        <f>IF('Debt Inventory'!E5&gt;0,'Debt Inventory'!G5,0)</f>
        <v/>
      </c>
      <c r="F14" s="21">
        <f>IF('Debt Inventory'!E6&gt;0,'Debt Inventory'!G6,0)</f>
        <v/>
      </c>
      <c r="G14" s="21">
        <f>IF('Debt Inventory'!E7&gt;0,'Debt Inventory'!G7,0)</f>
        <v/>
      </c>
      <c r="H14" s="21">
        <f>IF('Debt Inventory'!E8&gt;0,'Debt Inventory'!G8,0)</f>
        <v/>
      </c>
      <c r="I14" s="21">
        <f>IF('Debt Inventory'!E9&gt;0,'Debt Inventory'!G9,0)</f>
        <v/>
      </c>
      <c r="J14" s="21">
        <f>IF('Debt Inventory'!E10&gt;0,'Debt Inventory'!G10,0)</f>
        <v/>
      </c>
      <c r="K14" s="21">
        <f>IF('Debt Inventory'!E11&gt;0,'Debt Inventory'!G11,0)</f>
        <v/>
      </c>
      <c r="L14" s="21">
        <f>IF('Debt Inventory'!E12&gt;0,'Debt Inventory'!G12,0)</f>
        <v/>
      </c>
      <c r="M14" s="21">
        <f>IF('Debt Inventory'!E13&gt;0,'Debt Inventory'!G13,0)</f>
        <v/>
      </c>
      <c r="N14" s="23">
        <f>SUM(D14:M14)</f>
        <v/>
      </c>
    </row>
    <row r="15">
      <c r="B15" t="n">
        <v>12</v>
      </c>
      <c r="C15" s="35">
        <f>EDATE(TODAY(),11)</f>
        <v/>
      </c>
      <c r="D15" s="21">
        <f>IF('Debt Inventory'!E4&gt;0,'Debt Inventory'!G4,0)</f>
        <v/>
      </c>
      <c r="E15" s="21">
        <f>IF('Debt Inventory'!E5&gt;0,'Debt Inventory'!G5,0)</f>
        <v/>
      </c>
      <c r="F15" s="21">
        <f>IF('Debt Inventory'!E6&gt;0,'Debt Inventory'!G6,0)</f>
        <v/>
      </c>
      <c r="G15" s="21">
        <f>IF('Debt Inventory'!E7&gt;0,'Debt Inventory'!G7,0)</f>
        <v/>
      </c>
      <c r="H15" s="21">
        <f>IF('Debt Inventory'!E8&gt;0,'Debt Inventory'!G8,0)</f>
        <v/>
      </c>
      <c r="I15" s="21">
        <f>IF('Debt Inventory'!E9&gt;0,'Debt Inventory'!G9,0)</f>
        <v/>
      </c>
      <c r="J15" s="21">
        <f>IF('Debt Inventory'!E10&gt;0,'Debt Inventory'!G10,0)</f>
        <v/>
      </c>
      <c r="K15" s="21">
        <f>IF('Debt Inventory'!E11&gt;0,'Debt Inventory'!G11,0)</f>
        <v/>
      </c>
      <c r="L15" s="21">
        <f>IF('Debt Inventory'!E12&gt;0,'Debt Inventory'!G12,0)</f>
        <v/>
      </c>
      <c r="M15" s="21">
        <f>IF('Debt Inventory'!E13&gt;0,'Debt Inventory'!G13,0)</f>
        <v/>
      </c>
      <c r="N15" s="23">
        <f>SUM(D15:M15)</f>
        <v/>
      </c>
    </row>
    <row r="16">
      <c r="B16" t="n">
        <v>13</v>
      </c>
      <c r="C16" s="35">
        <f>EDATE(TODAY(),12)</f>
        <v/>
      </c>
      <c r="D16" s="21">
        <f>IF('Debt Inventory'!E4&gt;0,'Debt Inventory'!G4,0)</f>
        <v/>
      </c>
      <c r="E16" s="21">
        <f>IF('Debt Inventory'!E5&gt;0,'Debt Inventory'!G5,0)</f>
        <v/>
      </c>
      <c r="F16" s="21">
        <f>IF('Debt Inventory'!E6&gt;0,'Debt Inventory'!G6,0)</f>
        <v/>
      </c>
      <c r="G16" s="21">
        <f>IF('Debt Inventory'!E7&gt;0,'Debt Inventory'!G7,0)</f>
        <v/>
      </c>
      <c r="H16" s="21">
        <f>IF('Debt Inventory'!E8&gt;0,'Debt Inventory'!G8,0)</f>
        <v/>
      </c>
      <c r="I16" s="21">
        <f>IF('Debt Inventory'!E9&gt;0,'Debt Inventory'!G9,0)</f>
        <v/>
      </c>
      <c r="J16" s="21">
        <f>IF('Debt Inventory'!E10&gt;0,'Debt Inventory'!G10,0)</f>
        <v/>
      </c>
      <c r="K16" s="21">
        <f>IF('Debt Inventory'!E11&gt;0,'Debt Inventory'!G11,0)</f>
        <v/>
      </c>
      <c r="L16" s="21">
        <f>IF('Debt Inventory'!E12&gt;0,'Debt Inventory'!G12,0)</f>
        <v/>
      </c>
      <c r="M16" s="21">
        <f>IF('Debt Inventory'!E13&gt;0,'Debt Inventory'!G13,0)</f>
        <v/>
      </c>
      <c r="N16" s="23">
        <f>SUM(D16:M16)</f>
        <v/>
      </c>
    </row>
    <row r="17">
      <c r="B17" t="n">
        <v>14</v>
      </c>
      <c r="C17" s="35">
        <f>EDATE(TODAY(),13)</f>
        <v/>
      </c>
      <c r="D17" s="21">
        <f>IF('Debt Inventory'!E4&gt;0,'Debt Inventory'!G4,0)</f>
        <v/>
      </c>
      <c r="E17" s="21">
        <f>IF('Debt Inventory'!E5&gt;0,'Debt Inventory'!G5,0)</f>
        <v/>
      </c>
      <c r="F17" s="21">
        <f>IF('Debt Inventory'!E6&gt;0,'Debt Inventory'!G6,0)</f>
        <v/>
      </c>
      <c r="G17" s="21">
        <f>IF('Debt Inventory'!E7&gt;0,'Debt Inventory'!G7,0)</f>
        <v/>
      </c>
      <c r="H17" s="21">
        <f>IF('Debt Inventory'!E8&gt;0,'Debt Inventory'!G8,0)</f>
        <v/>
      </c>
      <c r="I17" s="21">
        <f>IF('Debt Inventory'!E9&gt;0,'Debt Inventory'!G9,0)</f>
        <v/>
      </c>
      <c r="J17" s="21">
        <f>IF('Debt Inventory'!E10&gt;0,'Debt Inventory'!G10,0)</f>
        <v/>
      </c>
      <c r="K17" s="21">
        <f>IF('Debt Inventory'!E11&gt;0,'Debt Inventory'!G11,0)</f>
        <v/>
      </c>
      <c r="L17" s="21">
        <f>IF('Debt Inventory'!E12&gt;0,'Debt Inventory'!G12,0)</f>
        <v/>
      </c>
      <c r="M17" s="21">
        <f>IF('Debt Inventory'!E13&gt;0,'Debt Inventory'!G13,0)</f>
        <v/>
      </c>
      <c r="N17" s="23">
        <f>SUM(D17:M17)</f>
        <v/>
      </c>
    </row>
    <row r="18">
      <c r="B18" t="n">
        <v>15</v>
      </c>
      <c r="C18" s="35">
        <f>EDATE(TODAY(),14)</f>
        <v/>
      </c>
      <c r="D18" s="21">
        <f>IF('Debt Inventory'!E4&gt;0,'Debt Inventory'!G4,0)</f>
        <v/>
      </c>
      <c r="E18" s="21">
        <f>IF('Debt Inventory'!E5&gt;0,'Debt Inventory'!G5,0)</f>
        <v/>
      </c>
      <c r="F18" s="21">
        <f>IF('Debt Inventory'!E6&gt;0,'Debt Inventory'!G6,0)</f>
        <v/>
      </c>
      <c r="G18" s="21">
        <f>IF('Debt Inventory'!E7&gt;0,'Debt Inventory'!G7,0)</f>
        <v/>
      </c>
      <c r="H18" s="21">
        <f>IF('Debt Inventory'!E8&gt;0,'Debt Inventory'!G8,0)</f>
        <v/>
      </c>
      <c r="I18" s="21">
        <f>IF('Debt Inventory'!E9&gt;0,'Debt Inventory'!G9,0)</f>
        <v/>
      </c>
      <c r="J18" s="21">
        <f>IF('Debt Inventory'!E10&gt;0,'Debt Inventory'!G10,0)</f>
        <v/>
      </c>
      <c r="K18" s="21">
        <f>IF('Debt Inventory'!E11&gt;0,'Debt Inventory'!G11,0)</f>
        <v/>
      </c>
      <c r="L18" s="21">
        <f>IF('Debt Inventory'!E12&gt;0,'Debt Inventory'!G12,0)</f>
        <v/>
      </c>
      <c r="M18" s="21">
        <f>IF('Debt Inventory'!E13&gt;0,'Debt Inventory'!G13,0)</f>
        <v/>
      </c>
      <c r="N18" s="23">
        <f>SUM(D18:M18)</f>
        <v/>
      </c>
    </row>
    <row r="19">
      <c r="B19" t="n">
        <v>16</v>
      </c>
      <c r="C19" s="35">
        <f>EDATE(TODAY(),15)</f>
        <v/>
      </c>
      <c r="D19" s="21">
        <f>IF('Debt Inventory'!E4&gt;0,'Debt Inventory'!G4,0)</f>
        <v/>
      </c>
      <c r="E19" s="21">
        <f>IF('Debt Inventory'!E5&gt;0,'Debt Inventory'!G5,0)</f>
        <v/>
      </c>
      <c r="F19" s="21">
        <f>IF('Debt Inventory'!E6&gt;0,'Debt Inventory'!G6,0)</f>
        <v/>
      </c>
      <c r="G19" s="21">
        <f>IF('Debt Inventory'!E7&gt;0,'Debt Inventory'!G7,0)</f>
        <v/>
      </c>
      <c r="H19" s="21">
        <f>IF('Debt Inventory'!E8&gt;0,'Debt Inventory'!G8,0)</f>
        <v/>
      </c>
      <c r="I19" s="21">
        <f>IF('Debt Inventory'!E9&gt;0,'Debt Inventory'!G9,0)</f>
        <v/>
      </c>
      <c r="J19" s="21">
        <f>IF('Debt Inventory'!E10&gt;0,'Debt Inventory'!G10,0)</f>
        <v/>
      </c>
      <c r="K19" s="21">
        <f>IF('Debt Inventory'!E11&gt;0,'Debt Inventory'!G11,0)</f>
        <v/>
      </c>
      <c r="L19" s="21">
        <f>IF('Debt Inventory'!E12&gt;0,'Debt Inventory'!G12,0)</f>
        <v/>
      </c>
      <c r="M19" s="21">
        <f>IF('Debt Inventory'!E13&gt;0,'Debt Inventory'!G13,0)</f>
        <v/>
      </c>
      <c r="N19" s="23">
        <f>SUM(D19:M19)</f>
        <v/>
      </c>
    </row>
    <row r="20">
      <c r="B20" t="n">
        <v>17</v>
      </c>
      <c r="C20" s="35">
        <f>EDATE(TODAY(),16)</f>
        <v/>
      </c>
      <c r="D20" s="21">
        <f>IF('Debt Inventory'!E4&gt;0,'Debt Inventory'!G4,0)</f>
        <v/>
      </c>
      <c r="E20" s="21">
        <f>IF('Debt Inventory'!E5&gt;0,'Debt Inventory'!G5,0)</f>
        <v/>
      </c>
      <c r="F20" s="21">
        <f>IF('Debt Inventory'!E6&gt;0,'Debt Inventory'!G6,0)</f>
        <v/>
      </c>
      <c r="G20" s="21">
        <f>IF('Debt Inventory'!E7&gt;0,'Debt Inventory'!G7,0)</f>
        <v/>
      </c>
      <c r="H20" s="21">
        <f>IF('Debt Inventory'!E8&gt;0,'Debt Inventory'!G8,0)</f>
        <v/>
      </c>
      <c r="I20" s="21">
        <f>IF('Debt Inventory'!E9&gt;0,'Debt Inventory'!G9,0)</f>
        <v/>
      </c>
      <c r="J20" s="21">
        <f>IF('Debt Inventory'!E10&gt;0,'Debt Inventory'!G10,0)</f>
        <v/>
      </c>
      <c r="K20" s="21">
        <f>IF('Debt Inventory'!E11&gt;0,'Debt Inventory'!G11,0)</f>
        <v/>
      </c>
      <c r="L20" s="21">
        <f>IF('Debt Inventory'!E12&gt;0,'Debt Inventory'!G12,0)</f>
        <v/>
      </c>
      <c r="M20" s="21">
        <f>IF('Debt Inventory'!E13&gt;0,'Debt Inventory'!G13,0)</f>
        <v/>
      </c>
      <c r="N20" s="23">
        <f>SUM(D20:M20)</f>
        <v/>
      </c>
    </row>
    <row r="21">
      <c r="B21" t="n">
        <v>18</v>
      </c>
      <c r="C21" s="35">
        <f>EDATE(TODAY(),17)</f>
        <v/>
      </c>
      <c r="D21" s="21">
        <f>IF('Debt Inventory'!E4&gt;0,'Debt Inventory'!G4,0)</f>
        <v/>
      </c>
      <c r="E21" s="21">
        <f>IF('Debt Inventory'!E5&gt;0,'Debt Inventory'!G5,0)</f>
        <v/>
      </c>
      <c r="F21" s="21">
        <f>IF('Debt Inventory'!E6&gt;0,'Debt Inventory'!G6,0)</f>
        <v/>
      </c>
      <c r="G21" s="21">
        <f>IF('Debt Inventory'!E7&gt;0,'Debt Inventory'!G7,0)</f>
        <v/>
      </c>
      <c r="H21" s="21">
        <f>IF('Debt Inventory'!E8&gt;0,'Debt Inventory'!G8,0)</f>
        <v/>
      </c>
      <c r="I21" s="21">
        <f>IF('Debt Inventory'!E9&gt;0,'Debt Inventory'!G9,0)</f>
        <v/>
      </c>
      <c r="J21" s="21">
        <f>IF('Debt Inventory'!E10&gt;0,'Debt Inventory'!G10,0)</f>
        <v/>
      </c>
      <c r="K21" s="21">
        <f>IF('Debt Inventory'!E11&gt;0,'Debt Inventory'!G11,0)</f>
        <v/>
      </c>
      <c r="L21" s="21">
        <f>IF('Debt Inventory'!E12&gt;0,'Debt Inventory'!G12,0)</f>
        <v/>
      </c>
      <c r="M21" s="21">
        <f>IF('Debt Inventory'!E13&gt;0,'Debt Inventory'!G13,0)</f>
        <v/>
      </c>
      <c r="N21" s="23">
        <f>SUM(D21:M21)</f>
        <v/>
      </c>
    </row>
    <row r="22">
      <c r="B22" t="n">
        <v>19</v>
      </c>
      <c r="C22" s="35">
        <f>EDATE(TODAY(),18)</f>
        <v/>
      </c>
      <c r="D22" s="21">
        <f>IF('Debt Inventory'!E4&gt;0,'Debt Inventory'!G4,0)</f>
        <v/>
      </c>
      <c r="E22" s="21">
        <f>IF('Debt Inventory'!E5&gt;0,'Debt Inventory'!G5,0)</f>
        <v/>
      </c>
      <c r="F22" s="21">
        <f>IF('Debt Inventory'!E6&gt;0,'Debt Inventory'!G6,0)</f>
        <v/>
      </c>
      <c r="G22" s="21">
        <f>IF('Debt Inventory'!E7&gt;0,'Debt Inventory'!G7,0)</f>
        <v/>
      </c>
      <c r="H22" s="21">
        <f>IF('Debt Inventory'!E8&gt;0,'Debt Inventory'!G8,0)</f>
        <v/>
      </c>
      <c r="I22" s="21">
        <f>IF('Debt Inventory'!E9&gt;0,'Debt Inventory'!G9,0)</f>
        <v/>
      </c>
      <c r="J22" s="21">
        <f>IF('Debt Inventory'!E10&gt;0,'Debt Inventory'!G10,0)</f>
        <v/>
      </c>
      <c r="K22" s="21">
        <f>IF('Debt Inventory'!E11&gt;0,'Debt Inventory'!G11,0)</f>
        <v/>
      </c>
      <c r="L22" s="21">
        <f>IF('Debt Inventory'!E12&gt;0,'Debt Inventory'!G12,0)</f>
        <v/>
      </c>
      <c r="M22" s="21">
        <f>IF('Debt Inventory'!E13&gt;0,'Debt Inventory'!G13,0)</f>
        <v/>
      </c>
      <c r="N22" s="23">
        <f>SUM(D22:M22)</f>
        <v/>
      </c>
    </row>
    <row r="23">
      <c r="B23" t="n">
        <v>20</v>
      </c>
      <c r="C23" s="35">
        <f>EDATE(TODAY(),19)</f>
        <v/>
      </c>
      <c r="D23" s="21">
        <f>IF('Debt Inventory'!E4&gt;0,'Debt Inventory'!G4,0)</f>
        <v/>
      </c>
      <c r="E23" s="21">
        <f>IF('Debt Inventory'!E5&gt;0,'Debt Inventory'!G5,0)</f>
        <v/>
      </c>
      <c r="F23" s="21">
        <f>IF('Debt Inventory'!E6&gt;0,'Debt Inventory'!G6,0)</f>
        <v/>
      </c>
      <c r="G23" s="21">
        <f>IF('Debt Inventory'!E7&gt;0,'Debt Inventory'!G7,0)</f>
        <v/>
      </c>
      <c r="H23" s="21">
        <f>IF('Debt Inventory'!E8&gt;0,'Debt Inventory'!G8,0)</f>
        <v/>
      </c>
      <c r="I23" s="21">
        <f>IF('Debt Inventory'!E9&gt;0,'Debt Inventory'!G9,0)</f>
        <v/>
      </c>
      <c r="J23" s="21">
        <f>IF('Debt Inventory'!E10&gt;0,'Debt Inventory'!G10,0)</f>
        <v/>
      </c>
      <c r="K23" s="21">
        <f>IF('Debt Inventory'!E11&gt;0,'Debt Inventory'!G11,0)</f>
        <v/>
      </c>
      <c r="L23" s="21">
        <f>IF('Debt Inventory'!E12&gt;0,'Debt Inventory'!G12,0)</f>
        <v/>
      </c>
      <c r="M23" s="21">
        <f>IF('Debt Inventory'!E13&gt;0,'Debt Inventory'!G13,0)</f>
        <v/>
      </c>
      <c r="N23" s="23">
        <f>SUM(D23:M23)</f>
        <v/>
      </c>
    </row>
    <row r="24">
      <c r="B24" t="n">
        <v>21</v>
      </c>
      <c r="C24" s="35">
        <f>EDATE(TODAY(),20)</f>
        <v/>
      </c>
      <c r="D24" s="21">
        <f>IF('Debt Inventory'!E4&gt;0,'Debt Inventory'!G4,0)</f>
        <v/>
      </c>
      <c r="E24" s="21">
        <f>IF('Debt Inventory'!E5&gt;0,'Debt Inventory'!G5,0)</f>
        <v/>
      </c>
      <c r="F24" s="21">
        <f>IF('Debt Inventory'!E6&gt;0,'Debt Inventory'!G6,0)</f>
        <v/>
      </c>
      <c r="G24" s="21">
        <f>IF('Debt Inventory'!E7&gt;0,'Debt Inventory'!G7,0)</f>
        <v/>
      </c>
      <c r="H24" s="21">
        <f>IF('Debt Inventory'!E8&gt;0,'Debt Inventory'!G8,0)</f>
        <v/>
      </c>
      <c r="I24" s="21">
        <f>IF('Debt Inventory'!E9&gt;0,'Debt Inventory'!G9,0)</f>
        <v/>
      </c>
      <c r="J24" s="21">
        <f>IF('Debt Inventory'!E10&gt;0,'Debt Inventory'!G10,0)</f>
        <v/>
      </c>
      <c r="K24" s="21">
        <f>IF('Debt Inventory'!E11&gt;0,'Debt Inventory'!G11,0)</f>
        <v/>
      </c>
      <c r="L24" s="21">
        <f>IF('Debt Inventory'!E12&gt;0,'Debt Inventory'!G12,0)</f>
        <v/>
      </c>
      <c r="M24" s="21">
        <f>IF('Debt Inventory'!E13&gt;0,'Debt Inventory'!G13,0)</f>
        <v/>
      </c>
      <c r="N24" s="23">
        <f>SUM(D24:M24)</f>
        <v/>
      </c>
    </row>
    <row r="25">
      <c r="B25" t="n">
        <v>22</v>
      </c>
      <c r="C25" s="35">
        <f>EDATE(TODAY(),21)</f>
        <v/>
      </c>
      <c r="D25" s="21">
        <f>IF('Debt Inventory'!E4&gt;0,'Debt Inventory'!G4,0)</f>
        <v/>
      </c>
      <c r="E25" s="21">
        <f>IF('Debt Inventory'!E5&gt;0,'Debt Inventory'!G5,0)</f>
        <v/>
      </c>
      <c r="F25" s="21">
        <f>IF('Debt Inventory'!E6&gt;0,'Debt Inventory'!G6,0)</f>
        <v/>
      </c>
      <c r="G25" s="21">
        <f>IF('Debt Inventory'!E7&gt;0,'Debt Inventory'!G7,0)</f>
        <v/>
      </c>
      <c r="H25" s="21">
        <f>IF('Debt Inventory'!E8&gt;0,'Debt Inventory'!G8,0)</f>
        <v/>
      </c>
      <c r="I25" s="21">
        <f>IF('Debt Inventory'!E9&gt;0,'Debt Inventory'!G9,0)</f>
        <v/>
      </c>
      <c r="J25" s="21">
        <f>IF('Debt Inventory'!E10&gt;0,'Debt Inventory'!G10,0)</f>
        <v/>
      </c>
      <c r="K25" s="21">
        <f>IF('Debt Inventory'!E11&gt;0,'Debt Inventory'!G11,0)</f>
        <v/>
      </c>
      <c r="L25" s="21">
        <f>IF('Debt Inventory'!E12&gt;0,'Debt Inventory'!G12,0)</f>
        <v/>
      </c>
      <c r="M25" s="21">
        <f>IF('Debt Inventory'!E13&gt;0,'Debt Inventory'!G13,0)</f>
        <v/>
      </c>
      <c r="N25" s="23">
        <f>SUM(D25:M25)</f>
        <v/>
      </c>
    </row>
    <row r="26">
      <c r="B26" t="n">
        <v>23</v>
      </c>
      <c r="C26" s="35">
        <f>EDATE(TODAY(),22)</f>
        <v/>
      </c>
      <c r="D26" s="21">
        <f>IF('Debt Inventory'!E4&gt;0,'Debt Inventory'!G4,0)</f>
        <v/>
      </c>
      <c r="E26" s="21">
        <f>IF('Debt Inventory'!E5&gt;0,'Debt Inventory'!G5,0)</f>
        <v/>
      </c>
      <c r="F26" s="21">
        <f>IF('Debt Inventory'!E6&gt;0,'Debt Inventory'!G6,0)</f>
        <v/>
      </c>
      <c r="G26" s="21">
        <f>IF('Debt Inventory'!E7&gt;0,'Debt Inventory'!G7,0)</f>
        <v/>
      </c>
      <c r="H26" s="21">
        <f>IF('Debt Inventory'!E8&gt;0,'Debt Inventory'!G8,0)</f>
        <v/>
      </c>
      <c r="I26" s="21">
        <f>IF('Debt Inventory'!E9&gt;0,'Debt Inventory'!G9,0)</f>
        <v/>
      </c>
      <c r="J26" s="21">
        <f>IF('Debt Inventory'!E10&gt;0,'Debt Inventory'!G10,0)</f>
        <v/>
      </c>
      <c r="K26" s="21">
        <f>IF('Debt Inventory'!E11&gt;0,'Debt Inventory'!G11,0)</f>
        <v/>
      </c>
      <c r="L26" s="21">
        <f>IF('Debt Inventory'!E12&gt;0,'Debt Inventory'!G12,0)</f>
        <v/>
      </c>
      <c r="M26" s="21">
        <f>IF('Debt Inventory'!E13&gt;0,'Debt Inventory'!G13,0)</f>
        <v/>
      </c>
      <c r="N26" s="23">
        <f>SUM(D26:M26)</f>
        <v/>
      </c>
    </row>
    <row r="27">
      <c r="B27" t="n">
        <v>24</v>
      </c>
      <c r="C27" s="35">
        <f>EDATE(TODAY(),23)</f>
        <v/>
      </c>
      <c r="D27" s="21">
        <f>IF('Debt Inventory'!E4&gt;0,'Debt Inventory'!G4,0)</f>
        <v/>
      </c>
      <c r="E27" s="21">
        <f>IF('Debt Inventory'!E5&gt;0,'Debt Inventory'!G5,0)</f>
        <v/>
      </c>
      <c r="F27" s="21">
        <f>IF('Debt Inventory'!E6&gt;0,'Debt Inventory'!G6,0)</f>
        <v/>
      </c>
      <c r="G27" s="21">
        <f>IF('Debt Inventory'!E7&gt;0,'Debt Inventory'!G7,0)</f>
        <v/>
      </c>
      <c r="H27" s="21">
        <f>IF('Debt Inventory'!E8&gt;0,'Debt Inventory'!G8,0)</f>
        <v/>
      </c>
      <c r="I27" s="21">
        <f>IF('Debt Inventory'!E9&gt;0,'Debt Inventory'!G9,0)</f>
        <v/>
      </c>
      <c r="J27" s="21">
        <f>IF('Debt Inventory'!E10&gt;0,'Debt Inventory'!G10,0)</f>
        <v/>
      </c>
      <c r="K27" s="21">
        <f>IF('Debt Inventory'!E11&gt;0,'Debt Inventory'!G11,0)</f>
        <v/>
      </c>
      <c r="L27" s="21">
        <f>IF('Debt Inventory'!E12&gt;0,'Debt Inventory'!G12,0)</f>
        <v/>
      </c>
      <c r="M27" s="21">
        <f>IF('Debt Inventory'!E13&gt;0,'Debt Inventory'!G13,0)</f>
        <v/>
      </c>
      <c r="N27" s="23">
        <f>SUM(D27:M27)</f>
        <v/>
      </c>
    </row>
    <row r="28">
      <c r="B28" t="n">
        <v>25</v>
      </c>
      <c r="C28" s="35">
        <f>EDATE(TODAY(),24)</f>
        <v/>
      </c>
      <c r="D28" s="21">
        <f>IF('Debt Inventory'!E4&gt;0,'Debt Inventory'!G4,0)</f>
        <v/>
      </c>
      <c r="E28" s="21">
        <f>IF('Debt Inventory'!E5&gt;0,'Debt Inventory'!G5,0)</f>
        <v/>
      </c>
      <c r="F28" s="21">
        <f>IF('Debt Inventory'!E6&gt;0,'Debt Inventory'!G6,0)</f>
        <v/>
      </c>
      <c r="G28" s="21">
        <f>IF('Debt Inventory'!E7&gt;0,'Debt Inventory'!G7,0)</f>
        <v/>
      </c>
      <c r="H28" s="21">
        <f>IF('Debt Inventory'!E8&gt;0,'Debt Inventory'!G8,0)</f>
        <v/>
      </c>
      <c r="I28" s="21">
        <f>IF('Debt Inventory'!E9&gt;0,'Debt Inventory'!G9,0)</f>
        <v/>
      </c>
      <c r="J28" s="21">
        <f>IF('Debt Inventory'!E10&gt;0,'Debt Inventory'!G10,0)</f>
        <v/>
      </c>
      <c r="K28" s="21">
        <f>IF('Debt Inventory'!E11&gt;0,'Debt Inventory'!G11,0)</f>
        <v/>
      </c>
      <c r="L28" s="21">
        <f>IF('Debt Inventory'!E12&gt;0,'Debt Inventory'!G12,0)</f>
        <v/>
      </c>
      <c r="M28" s="21">
        <f>IF('Debt Inventory'!E13&gt;0,'Debt Inventory'!G13,0)</f>
        <v/>
      </c>
      <c r="N28" s="23">
        <f>SUM(D28:M28)</f>
        <v/>
      </c>
    </row>
    <row r="29">
      <c r="B29" t="n">
        <v>26</v>
      </c>
      <c r="C29" s="35">
        <f>EDATE(TODAY(),25)</f>
        <v/>
      </c>
      <c r="D29" s="21">
        <f>IF('Debt Inventory'!E4&gt;0,'Debt Inventory'!G4,0)</f>
        <v/>
      </c>
      <c r="E29" s="21">
        <f>IF('Debt Inventory'!E5&gt;0,'Debt Inventory'!G5,0)</f>
        <v/>
      </c>
      <c r="F29" s="21">
        <f>IF('Debt Inventory'!E6&gt;0,'Debt Inventory'!G6,0)</f>
        <v/>
      </c>
      <c r="G29" s="21">
        <f>IF('Debt Inventory'!E7&gt;0,'Debt Inventory'!G7,0)</f>
        <v/>
      </c>
      <c r="H29" s="21">
        <f>IF('Debt Inventory'!E8&gt;0,'Debt Inventory'!G8,0)</f>
        <v/>
      </c>
      <c r="I29" s="21">
        <f>IF('Debt Inventory'!E9&gt;0,'Debt Inventory'!G9,0)</f>
        <v/>
      </c>
      <c r="J29" s="21">
        <f>IF('Debt Inventory'!E10&gt;0,'Debt Inventory'!G10,0)</f>
        <v/>
      </c>
      <c r="K29" s="21">
        <f>IF('Debt Inventory'!E11&gt;0,'Debt Inventory'!G11,0)</f>
        <v/>
      </c>
      <c r="L29" s="21">
        <f>IF('Debt Inventory'!E12&gt;0,'Debt Inventory'!G12,0)</f>
        <v/>
      </c>
      <c r="M29" s="21">
        <f>IF('Debt Inventory'!E13&gt;0,'Debt Inventory'!G13,0)</f>
        <v/>
      </c>
      <c r="N29" s="23">
        <f>SUM(D29:M29)</f>
        <v/>
      </c>
    </row>
    <row r="30">
      <c r="B30" t="n">
        <v>27</v>
      </c>
      <c r="C30" s="35">
        <f>EDATE(TODAY(),26)</f>
        <v/>
      </c>
      <c r="D30" s="21">
        <f>IF('Debt Inventory'!E4&gt;0,'Debt Inventory'!G4,0)</f>
        <v/>
      </c>
      <c r="E30" s="21">
        <f>IF('Debt Inventory'!E5&gt;0,'Debt Inventory'!G5,0)</f>
        <v/>
      </c>
      <c r="F30" s="21">
        <f>IF('Debt Inventory'!E6&gt;0,'Debt Inventory'!G6,0)</f>
        <v/>
      </c>
      <c r="G30" s="21">
        <f>IF('Debt Inventory'!E7&gt;0,'Debt Inventory'!G7,0)</f>
        <v/>
      </c>
      <c r="H30" s="21">
        <f>IF('Debt Inventory'!E8&gt;0,'Debt Inventory'!G8,0)</f>
        <v/>
      </c>
      <c r="I30" s="21">
        <f>IF('Debt Inventory'!E9&gt;0,'Debt Inventory'!G9,0)</f>
        <v/>
      </c>
      <c r="J30" s="21">
        <f>IF('Debt Inventory'!E10&gt;0,'Debt Inventory'!G10,0)</f>
        <v/>
      </c>
      <c r="K30" s="21">
        <f>IF('Debt Inventory'!E11&gt;0,'Debt Inventory'!G11,0)</f>
        <v/>
      </c>
      <c r="L30" s="21">
        <f>IF('Debt Inventory'!E12&gt;0,'Debt Inventory'!G12,0)</f>
        <v/>
      </c>
      <c r="M30" s="21">
        <f>IF('Debt Inventory'!E13&gt;0,'Debt Inventory'!G13,0)</f>
        <v/>
      </c>
      <c r="N30" s="23">
        <f>SUM(D30:M30)</f>
        <v/>
      </c>
    </row>
    <row r="31">
      <c r="B31" t="n">
        <v>28</v>
      </c>
      <c r="C31" s="35">
        <f>EDATE(TODAY(),27)</f>
        <v/>
      </c>
      <c r="D31" s="21">
        <f>IF('Debt Inventory'!E4&gt;0,'Debt Inventory'!G4,0)</f>
        <v/>
      </c>
      <c r="E31" s="21">
        <f>IF('Debt Inventory'!E5&gt;0,'Debt Inventory'!G5,0)</f>
        <v/>
      </c>
      <c r="F31" s="21">
        <f>IF('Debt Inventory'!E6&gt;0,'Debt Inventory'!G6,0)</f>
        <v/>
      </c>
      <c r="G31" s="21">
        <f>IF('Debt Inventory'!E7&gt;0,'Debt Inventory'!G7,0)</f>
        <v/>
      </c>
      <c r="H31" s="21">
        <f>IF('Debt Inventory'!E8&gt;0,'Debt Inventory'!G8,0)</f>
        <v/>
      </c>
      <c r="I31" s="21">
        <f>IF('Debt Inventory'!E9&gt;0,'Debt Inventory'!G9,0)</f>
        <v/>
      </c>
      <c r="J31" s="21">
        <f>IF('Debt Inventory'!E10&gt;0,'Debt Inventory'!G10,0)</f>
        <v/>
      </c>
      <c r="K31" s="21">
        <f>IF('Debt Inventory'!E11&gt;0,'Debt Inventory'!G11,0)</f>
        <v/>
      </c>
      <c r="L31" s="21">
        <f>IF('Debt Inventory'!E12&gt;0,'Debt Inventory'!G12,0)</f>
        <v/>
      </c>
      <c r="M31" s="21">
        <f>IF('Debt Inventory'!E13&gt;0,'Debt Inventory'!G13,0)</f>
        <v/>
      </c>
      <c r="N31" s="23">
        <f>SUM(D31:M31)</f>
        <v/>
      </c>
    </row>
    <row r="32">
      <c r="B32" t="n">
        <v>29</v>
      </c>
      <c r="C32" s="35">
        <f>EDATE(TODAY(),28)</f>
        <v/>
      </c>
      <c r="D32" s="21">
        <f>IF('Debt Inventory'!E4&gt;0,'Debt Inventory'!G4,0)</f>
        <v/>
      </c>
      <c r="E32" s="21">
        <f>IF('Debt Inventory'!E5&gt;0,'Debt Inventory'!G5,0)</f>
        <v/>
      </c>
      <c r="F32" s="21">
        <f>IF('Debt Inventory'!E6&gt;0,'Debt Inventory'!G6,0)</f>
        <v/>
      </c>
      <c r="G32" s="21">
        <f>IF('Debt Inventory'!E7&gt;0,'Debt Inventory'!G7,0)</f>
        <v/>
      </c>
      <c r="H32" s="21">
        <f>IF('Debt Inventory'!E8&gt;0,'Debt Inventory'!G8,0)</f>
        <v/>
      </c>
      <c r="I32" s="21">
        <f>IF('Debt Inventory'!E9&gt;0,'Debt Inventory'!G9,0)</f>
        <v/>
      </c>
      <c r="J32" s="21">
        <f>IF('Debt Inventory'!E10&gt;0,'Debt Inventory'!G10,0)</f>
        <v/>
      </c>
      <c r="K32" s="21">
        <f>IF('Debt Inventory'!E11&gt;0,'Debt Inventory'!G11,0)</f>
        <v/>
      </c>
      <c r="L32" s="21">
        <f>IF('Debt Inventory'!E12&gt;0,'Debt Inventory'!G12,0)</f>
        <v/>
      </c>
      <c r="M32" s="21">
        <f>IF('Debt Inventory'!E13&gt;0,'Debt Inventory'!G13,0)</f>
        <v/>
      </c>
      <c r="N32" s="23">
        <f>SUM(D32:M32)</f>
        <v/>
      </c>
    </row>
    <row r="33">
      <c r="B33" t="n">
        <v>30</v>
      </c>
      <c r="C33" s="35">
        <f>EDATE(TODAY(),29)</f>
        <v/>
      </c>
      <c r="D33" s="21">
        <f>IF('Debt Inventory'!E4&gt;0,'Debt Inventory'!G4,0)</f>
        <v/>
      </c>
      <c r="E33" s="21">
        <f>IF('Debt Inventory'!E5&gt;0,'Debt Inventory'!G5,0)</f>
        <v/>
      </c>
      <c r="F33" s="21">
        <f>IF('Debt Inventory'!E6&gt;0,'Debt Inventory'!G6,0)</f>
        <v/>
      </c>
      <c r="G33" s="21">
        <f>IF('Debt Inventory'!E7&gt;0,'Debt Inventory'!G7,0)</f>
        <v/>
      </c>
      <c r="H33" s="21">
        <f>IF('Debt Inventory'!E8&gt;0,'Debt Inventory'!G8,0)</f>
        <v/>
      </c>
      <c r="I33" s="21">
        <f>IF('Debt Inventory'!E9&gt;0,'Debt Inventory'!G9,0)</f>
        <v/>
      </c>
      <c r="J33" s="21">
        <f>IF('Debt Inventory'!E10&gt;0,'Debt Inventory'!G10,0)</f>
        <v/>
      </c>
      <c r="K33" s="21">
        <f>IF('Debt Inventory'!E11&gt;0,'Debt Inventory'!G11,0)</f>
        <v/>
      </c>
      <c r="L33" s="21">
        <f>IF('Debt Inventory'!E12&gt;0,'Debt Inventory'!G12,0)</f>
        <v/>
      </c>
      <c r="M33" s="21">
        <f>IF('Debt Inventory'!E13&gt;0,'Debt Inventory'!G13,0)</f>
        <v/>
      </c>
      <c r="N33" s="23">
        <f>SUM(D33:M33)</f>
        <v/>
      </c>
    </row>
    <row r="34">
      <c r="B34" t="n">
        <v>31</v>
      </c>
      <c r="C34" s="35">
        <f>EDATE(TODAY(),30)</f>
        <v/>
      </c>
      <c r="D34" s="21">
        <f>IF('Debt Inventory'!E4&gt;0,'Debt Inventory'!G4,0)</f>
        <v/>
      </c>
      <c r="E34" s="21">
        <f>IF('Debt Inventory'!E5&gt;0,'Debt Inventory'!G5,0)</f>
        <v/>
      </c>
      <c r="F34" s="21">
        <f>IF('Debt Inventory'!E6&gt;0,'Debt Inventory'!G6,0)</f>
        <v/>
      </c>
      <c r="G34" s="21">
        <f>IF('Debt Inventory'!E7&gt;0,'Debt Inventory'!G7,0)</f>
        <v/>
      </c>
      <c r="H34" s="21">
        <f>IF('Debt Inventory'!E8&gt;0,'Debt Inventory'!G8,0)</f>
        <v/>
      </c>
      <c r="I34" s="21">
        <f>IF('Debt Inventory'!E9&gt;0,'Debt Inventory'!G9,0)</f>
        <v/>
      </c>
      <c r="J34" s="21">
        <f>IF('Debt Inventory'!E10&gt;0,'Debt Inventory'!G10,0)</f>
        <v/>
      </c>
      <c r="K34" s="21">
        <f>IF('Debt Inventory'!E11&gt;0,'Debt Inventory'!G11,0)</f>
        <v/>
      </c>
      <c r="L34" s="21">
        <f>IF('Debt Inventory'!E12&gt;0,'Debt Inventory'!G12,0)</f>
        <v/>
      </c>
      <c r="M34" s="21">
        <f>IF('Debt Inventory'!E13&gt;0,'Debt Inventory'!G13,0)</f>
        <v/>
      </c>
      <c r="N34" s="23">
        <f>SUM(D34:M34)</f>
        <v/>
      </c>
    </row>
    <row r="35">
      <c r="B35" t="n">
        <v>32</v>
      </c>
      <c r="C35" s="35">
        <f>EDATE(TODAY(),31)</f>
        <v/>
      </c>
      <c r="D35" s="21">
        <f>IF('Debt Inventory'!E4&gt;0,'Debt Inventory'!G4,0)</f>
        <v/>
      </c>
      <c r="E35" s="21">
        <f>IF('Debt Inventory'!E5&gt;0,'Debt Inventory'!G5,0)</f>
        <v/>
      </c>
      <c r="F35" s="21">
        <f>IF('Debt Inventory'!E6&gt;0,'Debt Inventory'!G6,0)</f>
        <v/>
      </c>
      <c r="G35" s="21">
        <f>IF('Debt Inventory'!E7&gt;0,'Debt Inventory'!G7,0)</f>
        <v/>
      </c>
      <c r="H35" s="21">
        <f>IF('Debt Inventory'!E8&gt;0,'Debt Inventory'!G8,0)</f>
        <v/>
      </c>
      <c r="I35" s="21">
        <f>IF('Debt Inventory'!E9&gt;0,'Debt Inventory'!G9,0)</f>
        <v/>
      </c>
      <c r="J35" s="21">
        <f>IF('Debt Inventory'!E10&gt;0,'Debt Inventory'!G10,0)</f>
        <v/>
      </c>
      <c r="K35" s="21">
        <f>IF('Debt Inventory'!E11&gt;0,'Debt Inventory'!G11,0)</f>
        <v/>
      </c>
      <c r="L35" s="21">
        <f>IF('Debt Inventory'!E12&gt;0,'Debt Inventory'!G12,0)</f>
        <v/>
      </c>
      <c r="M35" s="21">
        <f>IF('Debt Inventory'!E13&gt;0,'Debt Inventory'!G13,0)</f>
        <v/>
      </c>
      <c r="N35" s="23">
        <f>SUM(D35:M35)</f>
        <v/>
      </c>
    </row>
    <row r="36">
      <c r="B36" t="n">
        <v>33</v>
      </c>
      <c r="C36" s="35">
        <f>EDATE(TODAY(),32)</f>
        <v/>
      </c>
      <c r="D36" s="21">
        <f>IF('Debt Inventory'!E4&gt;0,'Debt Inventory'!G4,0)</f>
        <v/>
      </c>
      <c r="E36" s="21">
        <f>IF('Debt Inventory'!E5&gt;0,'Debt Inventory'!G5,0)</f>
        <v/>
      </c>
      <c r="F36" s="21">
        <f>IF('Debt Inventory'!E6&gt;0,'Debt Inventory'!G6,0)</f>
        <v/>
      </c>
      <c r="G36" s="21">
        <f>IF('Debt Inventory'!E7&gt;0,'Debt Inventory'!G7,0)</f>
        <v/>
      </c>
      <c r="H36" s="21">
        <f>IF('Debt Inventory'!E8&gt;0,'Debt Inventory'!G8,0)</f>
        <v/>
      </c>
      <c r="I36" s="21">
        <f>IF('Debt Inventory'!E9&gt;0,'Debt Inventory'!G9,0)</f>
        <v/>
      </c>
      <c r="J36" s="21">
        <f>IF('Debt Inventory'!E10&gt;0,'Debt Inventory'!G10,0)</f>
        <v/>
      </c>
      <c r="K36" s="21">
        <f>IF('Debt Inventory'!E11&gt;0,'Debt Inventory'!G11,0)</f>
        <v/>
      </c>
      <c r="L36" s="21">
        <f>IF('Debt Inventory'!E12&gt;0,'Debt Inventory'!G12,0)</f>
        <v/>
      </c>
      <c r="M36" s="21">
        <f>IF('Debt Inventory'!E13&gt;0,'Debt Inventory'!G13,0)</f>
        <v/>
      </c>
      <c r="N36" s="23">
        <f>SUM(D36:M36)</f>
        <v/>
      </c>
    </row>
    <row r="37">
      <c r="B37" t="n">
        <v>34</v>
      </c>
      <c r="C37" s="35">
        <f>EDATE(TODAY(),33)</f>
        <v/>
      </c>
      <c r="D37" s="21">
        <f>IF('Debt Inventory'!E4&gt;0,'Debt Inventory'!G4,0)</f>
        <v/>
      </c>
      <c r="E37" s="21">
        <f>IF('Debt Inventory'!E5&gt;0,'Debt Inventory'!G5,0)</f>
        <v/>
      </c>
      <c r="F37" s="21">
        <f>IF('Debt Inventory'!E6&gt;0,'Debt Inventory'!G6,0)</f>
        <v/>
      </c>
      <c r="G37" s="21">
        <f>IF('Debt Inventory'!E7&gt;0,'Debt Inventory'!G7,0)</f>
        <v/>
      </c>
      <c r="H37" s="21">
        <f>IF('Debt Inventory'!E8&gt;0,'Debt Inventory'!G8,0)</f>
        <v/>
      </c>
      <c r="I37" s="21">
        <f>IF('Debt Inventory'!E9&gt;0,'Debt Inventory'!G9,0)</f>
        <v/>
      </c>
      <c r="J37" s="21">
        <f>IF('Debt Inventory'!E10&gt;0,'Debt Inventory'!G10,0)</f>
        <v/>
      </c>
      <c r="K37" s="21">
        <f>IF('Debt Inventory'!E11&gt;0,'Debt Inventory'!G11,0)</f>
        <v/>
      </c>
      <c r="L37" s="21">
        <f>IF('Debt Inventory'!E12&gt;0,'Debt Inventory'!G12,0)</f>
        <v/>
      </c>
      <c r="M37" s="21">
        <f>IF('Debt Inventory'!E13&gt;0,'Debt Inventory'!G13,0)</f>
        <v/>
      </c>
      <c r="N37" s="23">
        <f>SUM(D37:M37)</f>
        <v/>
      </c>
    </row>
    <row r="38">
      <c r="B38" t="n">
        <v>35</v>
      </c>
      <c r="C38" s="35">
        <f>EDATE(TODAY(),34)</f>
        <v/>
      </c>
      <c r="D38" s="21">
        <f>IF('Debt Inventory'!E4&gt;0,'Debt Inventory'!G4,0)</f>
        <v/>
      </c>
      <c r="E38" s="21">
        <f>IF('Debt Inventory'!E5&gt;0,'Debt Inventory'!G5,0)</f>
        <v/>
      </c>
      <c r="F38" s="21">
        <f>IF('Debt Inventory'!E6&gt;0,'Debt Inventory'!G6,0)</f>
        <v/>
      </c>
      <c r="G38" s="21">
        <f>IF('Debt Inventory'!E7&gt;0,'Debt Inventory'!G7,0)</f>
        <v/>
      </c>
      <c r="H38" s="21">
        <f>IF('Debt Inventory'!E8&gt;0,'Debt Inventory'!G8,0)</f>
        <v/>
      </c>
      <c r="I38" s="21">
        <f>IF('Debt Inventory'!E9&gt;0,'Debt Inventory'!G9,0)</f>
        <v/>
      </c>
      <c r="J38" s="21">
        <f>IF('Debt Inventory'!E10&gt;0,'Debt Inventory'!G10,0)</f>
        <v/>
      </c>
      <c r="K38" s="21">
        <f>IF('Debt Inventory'!E11&gt;0,'Debt Inventory'!G11,0)</f>
        <v/>
      </c>
      <c r="L38" s="21">
        <f>IF('Debt Inventory'!E12&gt;0,'Debt Inventory'!G12,0)</f>
        <v/>
      </c>
      <c r="M38" s="21">
        <f>IF('Debt Inventory'!E13&gt;0,'Debt Inventory'!G13,0)</f>
        <v/>
      </c>
      <c r="N38" s="23">
        <f>SUM(D38:M38)</f>
        <v/>
      </c>
    </row>
    <row r="39">
      <c r="B39" t="n">
        <v>36</v>
      </c>
      <c r="C39" s="35">
        <f>EDATE(TODAY(),35)</f>
        <v/>
      </c>
      <c r="D39" s="21">
        <f>IF('Debt Inventory'!E4&gt;0,'Debt Inventory'!G4,0)</f>
        <v/>
      </c>
      <c r="E39" s="21">
        <f>IF('Debt Inventory'!E5&gt;0,'Debt Inventory'!G5,0)</f>
        <v/>
      </c>
      <c r="F39" s="21">
        <f>IF('Debt Inventory'!E6&gt;0,'Debt Inventory'!G6,0)</f>
        <v/>
      </c>
      <c r="G39" s="21">
        <f>IF('Debt Inventory'!E7&gt;0,'Debt Inventory'!G7,0)</f>
        <v/>
      </c>
      <c r="H39" s="21">
        <f>IF('Debt Inventory'!E8&gt;0,'Debt Inventory'!G8,0)</f>
        <v/>
      </c>
      <c r="I39" s="21">
        <f>IF('Debt Inventory'!E9&gt;0,'Debt Inventory'!G9,0)</f>
        <v/>
      </c>
      <c r="J39" s="21">
        <f>IF('Debt Inventory'!E10&gt;0,'Debt Inventory'!G10,0)</f>
        <v/>
      </c>
      <c r="K39" s="21">
        <f>IF('Debt Inventory'!E11&gt;0,'Debt Inventory'!G11,0)</f>
        <v/>
      </c>
      <c r="L39" s="21">
        <f>IF('Debt Inventory'!E12&gt;0,'Debt Inventory'!G12,0)</f>
        <v/>
      </c>
      <c r="M39" s="21">
        <f>IF('Debt Inventory'!E13&gt;0,'Debt Inventory'!G13,0)</f>
        <v/>
      </c>
      <c r="N39" s="23">
        <f>SUM(D39:M39)</f>
        <v/>
      </c>
    </row>
    <row r="40">
      <c r="B40" t="n">
        <v>37</v>
      </c>
      <c r="C40" s="35">
        <f>EDATE(TODAY(),36)</f>
        <v/>
      </c>
      <c r="D40" s="21">
        <f>IF('Debt Inventory'!E4&gt;0,'Debt Inventory'!G4,0)</f>
        <v/>
      </c>
      <c r="E40" s="21">
        <f>IF('Debt Inventory'!E5&gt;0,'Debt Inventory'!G5,0)</f>
        <v/>
      </c>
      <c r="F40" s="21">
        <f>IF('Debt Inventory'!E6&gt;0,'Debt Inventory'!G6,0)</f>
        <v/>
      </c>
      <c r="G40" s="21">
        <f>IF('Debt Inventory'!E7&gt;0,'Debt Inventory'!G7,0)</f>
        <v/>
      </c>
      <c r="H40" s="21">
        <f>IF('Debt Inventory'!E8&gt;0,'Debt Inventory'!G8,0)</f>
        <v/>
      </c>
      <c r="I40" s="21">
        <f>IF('Debt Inventory'!E9&gt;0,'Debt Inventory'!G9,0)</f>
        <v/>
      </c>
      <c r="J40" s="21">
        <f>IF('Debt Inventory'!E10&gt;0,'Debt Inventory'!G10,0)</f>
        <v/>
      </c>
      <c r="K40" s="21">
        <f>IF('Debt Inventory'!E11&gt;0,'Debt Inventory'!G11,0)</f>
        <v/>
      </c>
      <c r="L40" s="21">
        <f>IF('Debt Inventory'!E12&gt;0,'Debt Inventory'!G12,0)</f>
        <v/>
      </c>
      <c r="M40" s="21">
        <f>IF('Debt Inventory'!E13&gt;0,'Debt Inventory'!G13,0)</f>
        <v/>
      </c>
      <c r="N40" s="23">
        <f>SUM(D40:M40)</f>
        <v/>
      </c>
    </row>
    <row r="41">
      <c r="B41" t="n">
        <v>38</v>
      </c>
      <c r="C41" s="35">
        <f>EDATE(TODAY(),37)</f>
        <v/>
      </c>
      <c r="D41" s="21">
        <f>IF('Debt Inventory'!E4&gt;0,'Debt Inventory'!G4,0)</f>
        <v/>
      </c>
      <c r="E41" s="21">
        <f>IF('Debt Inventory'!E5&gt;0,'Debt Inventory'!G5,0)</f>
        <v/>
      </c>
      <c r="F41" s="21">
        <f>IF('Debt Inventory'!E6&gt;0,'Debt Inventory'!G6,0)</f>
        <v/>
      </c>
      <c r="G41" s="21">
        <f>IF('Debt Inventory'!E7&gt;0,'Debt Inventory'!G7,0)</f>
        <v/>
      </c>
      <c r="H41" s="21">
        <f>IF('Debt Inventory'!E8&gt;0,'Debt Inventory'!G8,0)</f>
        <v/>
      </c>
      <c r="I41" s="21">
        <f>IF('Debt Inventory'!E9&gt;0,'Debt Inventory'!G9,0)</f>
        <v/>
      </c>
      <c r="J41" s="21">
        <f>IF('Debt Inventory'!E10&gt;0,'Debt Inventory'!G10,0)</f>
        <v/>
      </c>
      <c r="K41" s="21">
        <f>IF('Debt Inventory'!E11&gt;0,'Debt Inventory'!G11,0)</f>
        <v/>
      </c>
      <c r="L41" s="21">
        <f>IF('Debt Inventory'!E12&gt;0,'Debt Inventory'!G12,0)</f>
        <v/>
      </c>
      <c r="M41" s="21">
        <f>IF('Debt Inventory'!E13&gt;0,'Debt Inventory'!G13,0)</f>
        <v/>
      </c>
      <c r="N41" s="23">
        <f>SUM(D41:M41)</f>
        <v/>
      </c>
    </row>
    <row r="42">
      <c r="B42" t="n">
        <v>39</v>
      </c>
      <c r="C42" s="35">
        <f>EDATE(TODAY(),38)</f>
        <v/>
      </c>
      <c r="D42" s="21">
        <f>IF('Debt Inventory'!E4&gt;0,'Debt Inventory'!G4,0)</f>
        <v/>
      </c>
      <c r="E42" s="21">
        <f>IF('Debt Inventory'!E5&gt;0,'Debt Inventory'!G5,0)</f>
        <v/>
      </c>
      <c r="F42" s="21">
        <f>IF('Debt Inventory'!E6&gt;0,'Debt Inventory'!G6,0)</f>
        <v/>
      </c>
      <c r="G42" s="21">
        <f>IF('Debt Inventory'!E7&gt;0,'Debt Inventory'!G7,0)</f>
        <v/>
      </c>
      <c r="H42" s="21">
        <f>IF('Debt Inventory'!E8&gt;0,'Debt Inventory'!G8,0)</f>
        <v/>
      </c>
      <c r="I42" s="21">
        <f>IF('Debt Inventory'!E9&gt;0,'Debt Inventory'!G9,0)</f>
        <v/>
      </c>
      <c r="J42" s="21">
        <f>IF('Debt Inventory'!E10&gt;0,'Debt Inventory'!G10,0)</f>
        <v/>
      </c>
      <c r="K42" s="21">
        <f>IF('Debt Inventory'!E11&gt;0,'Debt Inventory'!G11,0)</f>
        <v/>
      </c>
      <c r="L42" s="21">
        <f>IF('Debt Inventory'!E12&gt;0,'Debt Inventory'!G12,0)</f>
        <v/>
      </c>
      <c r="M42" s="21">
        <f>IF('Debt Inventory'!E13&gt;0,'Debt Inventory'!G13,0)</f>
        <v/>
      </c>
      <c r="N42" s="23">
        <f>SUM(D42:M42)</f>
        <v/>
      </c>
    </row>
    <row r="43">
      <c r="B43" t="n">
        <v>40</v>
      </c>
      <c r="C43" s="35">
        <f>EDATE(TODAY(),39)</f>
        <v/>
      </c>
      <c r="D43" s="21">
        <f>IF('Debt Inventory'!E4&gt;0,'Debt Inventory'!G4,0)</f>
        <v/>
      </c>
      <c r="E43" s="21">
        <f>IF('Debt Inventory'!E5&gt;0,'Debt Inventory'!G5,0)</f>
        <v/>
      </c>
      <c r="F43" s="21">
        <f>IF('Debt Inventory'!E6&gt;0,'Debt Inventory'!G6,0)</f>
        <v/>
      </c>
      <c r="G43" s="21">
        <f>IF('Debt Inventory'!E7&gt;0,'Debt Inventory'!G7,0)</f>
        <v/>
      </c>
      <c r="H43" s="21">
        <f>IF('Debt Inventory'!E8&gt;0,'Debt Inventory'!G8,0)</f>
        <v/>
      </c>
      <c r="I43" s="21">
        <f>IF('Debt Inventory'!E9&gt;0,'Debt Inventory'!G9,0)</f>
        <v/>
      </c>
      <c r="J43" s="21">
        <f>IF('Debt Inventory'!E10&gt;0,'Debt Inventory'!G10,0)</f>
        <v/>
      </c>
      <c r="K43" s="21">
        <f>IF('Debt Inventory'!E11&gt;0,'Debt Inventory'!G11,0)</f>
        <v/>
      </c>
      <c r="L43" s="21">
        <f>IF('Debt Inventory'!E12&gt;0,'Debt Inventory'!G12,0)</f>
        <v/>
      </c>
      <c r="M43" s="21">
        <f>IF('Debt Inventory'!E13&gt;0,'Debt Inventory'!G13,0)</f>
        <v/>
      </c>
      <c r="N43" s="23">
        <f>SUM(D43:M43)</f>
        <v/>
      </c>
    </row>
    <row r="44">
      <c r="B44" t="n">
        <v>41</v>
      </c>
      <c r="C44" s="35">
        <f>EDATE(TODAY(),40)</f>
        <v/>
      </c>
      <c r="D44" s="21">
        <f>IF('Debt Inventory'!E4&gt;0,'Debt Inventory'!G4,0)</f>
        <v/>
      </c>
      <c r="E44" s="21">
        <f>IF('Debt Inventory'!E5&gt;0,'Debt Inventory'!G5,0)</f>
        <v/>
      </c>
      <c r="F44" s="21">
        <f>IF('Debt Inventory'!E6&gt;0,'Debt Inventory'!G6,0)</f>
        <v/>
      </c>
      <c r="G44" s="21">
        <f>IF('Debt Inventory'!E7&gt;0,'Debt Inventory'!G7,0)</f>
        <v/>
      </c>
      <c r="H44" s="21">
        <f>IF('Debt Inventory'!E8&gt;0,'Debt Inventory'!G8,0)</f>
        <v/>
      </c>
      <c r="I44" s="21">
        <f>IF('Debt Inventory'!E9&gt;0,'Debt Inventory'!G9,0)</f>
        <v/>
      </c>
      <c r="J44" s="21">
        <f>IF('Debt Inventory'!E10&gt;0,'Debt Inventory'!G10,0)</f>
        <v/>
      </c>
      <c r="K44" s="21">
        <f>IF('Debt Inventory'!E11&gt;0,'Debt Inventory'!G11,0)</f>
        <v/>
      </c>
      <c r="L44" s="21">
        <f>IF('Debt Inventory'!E12&gt;0,'Debt Inventory'!G12,0)</f>
        <v/>
      </c>
      <c r="M44" s="21">
        <f>IF('Debt Inventory'!E13&gt;0,'Debt Inventory'!G13,0)</f>
        <v/>
      </c>
      <c r="N44" s="23">
        <f>SUM(D44:M44)</f>
        <v/>
      </c>
    </row>
    <row r="45">
      <c r="B45" t="n">
        <v>42</v>
      </c>
      <c r="C45" s="35">
        <f>EDATE(TODAY(),41)</f>
        <v/>
      </c>
      <c r="D45" s="21">
        <f>IF('Debt Inventory'!E4&gt;0,'Debt Inventory'!G4,0)</f>
        <v/>
      </c>
      <c r="E45" s="21">
        <f>IF('Debt Inventory'!E5&gt;0,'Debt Inventory'!G5,0)</f>
        <v/>
      </c>
      <c r="F45" s="21">
        <f>IF('Debt Inventory'!E6&gt;0,'Debt Inventory'!G6,0)</f>
        <v/>
      </c>
      <c r="G45" s="21">
        <f>IF('Debt Inventory'!E7&gt;0,'Debt Inventory'!G7,0)</f>
        <v/>
      </c>
      <c r="H45" s="21">
        <f>IF('Debt Inventory'!E8&gt;0,'Debt Inventory'!G8,0)</f>
        <v/>
      </c>
      <c r="I45" s="21">
        <f>IF('Debt Inventory'!E9&gt;0,'Debt Inventory'!G9,0)</f>
        <v/>
      </c>
      <c r="J45" s="21">
        <f>IF('Debt Inventory'!E10&gt;0,'Debt Inventory'!G10,0)</f>
        <v/>
      </c>
      <c r="K45" s="21">
        <f>IF('Debt Inventory'!E11&gt;0,'Debt Inventory'!G11,0)</f>
        <v/>
      </c>
      <c r="L45" s="21">
        <f>IF('Debt Inventory'!E12&gt;0,'Debt Inventory'!G12,0)</f>
        <v/>
      </c>
      <c r="M45" s="21">
        <f>IF('Debt Inventory'!E13&gt;0,'Debt Inventory'!G13,0)</f>
        <v/>
      </c>
      <c r="N45" s="23">
        <f>SUM(D45:M45)</f>
        <v/>
      </c>
    </row>
    <row r="46">
      <c r="B46" t="n">
        <v>43</v>
      </c>
      <c r="C46" s="35">
        <f>EDATE(TODAY(),42)</f>
        <v/>
      </c>
      <c r="D46" s="21">
        <f>IF('Debt Inventory'!E4&gt;0,'Debt Inventory'!G4,0)</f>
        <v/>
      </c>
      <c r="E46" s="21">
        <f>IF('Debt Inventory'!E5&gt;0,'Debt Inventory'!G5,0)</f>
        <v/>
      </c>
      <c r="F46" s="21">
        <f>IF('Debt Inventory'!E6&gt;0,'Debt Inventory'!G6,0)</f>
        <v/>
      </c>
      <c r="G46" s="21">
        <f>IF('Debt Inventory'!E7&gt;0,'Debt Inventory'!G7,0)</f>
        <v/>
      </c>
      <c r="H46" s="21">
        <f>IF('Debt Inventory'!E8&gt;0,'Debt Inventory'!G8,0)</f>
        <v/>
      </c>
      <c r="I46" s="21">
        <f>IF('Debt Inventory'!E9&gt;0,'Debt Inventory'!G9,0)</f>
        <v/>
      </c>
      <c r="J46" s="21">
        <f>IF('Debt Inventory'!E10&gt;0,'Debt Inventory'!G10,0)</f>
        <v/>
      </c>
      <c r="K46" s="21">
        <f>IF('Debt Inventory'!E11&gt;0,'Debt Inventory'!G11,0)</f>
        <v/>
      </c>
      <c r="L46" s="21">
        <f>IF('Debt Inventory'!E12&gt;0,'Debt Inventory'!G12,0)</f>
        <v/>
      </c>
      <c r="M46" s="21">
        <f>IF('Debt Inventory'!E13&gt;0,'Debt Inventory'!G13,0)</f>
        <v/>
      </c>
      <c r="N46" s="23">
        <f>SUM(D46:M46)</f>
        <v/>
      </c>
    </row>
    <row r="47">
      <c r="B47" t="n">
        <v>44</v>
      </c>
      <c r="C47" s="35">
        <f>EDATE(TODAY(),43)</f>
        <v/>
      </c>
      <c r="D47" s="21">
        <f>IF('Debt Inventory'!E4&gt;0,'Debt Inventory'!G4,0)</f>
        <v/>
      </c>
      <c r="E47" s="21">
        <f>IF('Debt Inventory'!E5&gt;0,'Debt Inventory'!G5,0)</f>
        <v/>
      </c>
      <c r="F47" s="21">
        <f>IF('Debt Inventory'!E6&gt;0,'Debt Inventory'!G6,0)</f>
        <v/>
      </c>
      <c r="G47" s="21">
        <f>IF('Debt Inventory'!E7&gt;0,'Debt Inventory'!G7,0)</f>
        <v/>
      </c>
      <c r="H47" s="21">
        <f>IF('Debt Inventory'!E8&gt;0,'Debt Inventory'!G8,0)</f>
        <v/>
      </c>
      <c r="I47" s="21">
        <f>IF('Debt Inventory'!E9&gt;0,'Debt Inventory'!G9,0)</f>
        <v/>
      </c>
      <c r="J47" s="21">
        <f>IF('Debt Inventory'!E10&gt;0,'Debt Inventory'!G10,0)</f>
        <v/>
      </c>
      <c r="K47" s="21">
        <f>IF('Debt Inventory'!E11&gt;0,'Debt Inventory'!G11,0)</f>
        <v/>
      </c>
      <c r="L47" s="21">
        <f>IF('Debt Inventory'!E12&gt;0,'Debt Inventory'!G12,0)</f>
        <v/>
      </c>
      <c r="M47" s="21">
        <f>IF('Debt Inventory'!E13&gt;0,'Debt Inventory'!G13,0)</f>
        <v/>
      </c>
      <c r="N47" s="23">
        <f>SUM(D47:M47)</f>
        <v/>
      </c>
    </row>
    <row r="48">
      <c r="B48" t="n">
        <v>45</v>
      </c>
      <c r="C48" s="35">
        <f>EDATE(TODAY(),44)</f>
        <v/>
      </c>
      <c r="D48" s="21">
        <f>IF('Debt Inventory'!E4&gt;0,'Debt Inventory'!G4,0)</f>
        <v/>
      </c>
      <c r="E48" s="21">
        <f>IF('Debt Inventory'!E5&gt;0,'Debt Inventory'!G5,0)</f>
        <v/>
      </c>
      <c r="F48" s="21">
        <f>IF('Debt Inventory'!E6&gt;0,'Debt Inventory'!G6,0)</f>
        <v/>
      </c>
      <c r="G48" s="21">
        <f>IF('Debt Inventory'!E7&gt;0,'Debt Inventory'!G7,0)</f>
        <v/>
      </c>
      <c r="H48" s="21">
        <f>IF('Debt Inventory'!E8&gt;0,'Debt Inventory'!G8,0)</f>
        <v/>
      </c>
      <c r="I48" s="21">
        <f>IF('Debt Inventory'!E9&gt;0,'Debt Inventory'!G9,0)</f>
        <v/>
      </c>
      <c r="J48" s="21">
        <f>IF('Debt Inventory'!E10&gt;0,'Debt Inventory'!G10,0)</f>
        <v/>
      </c>
      <c r="K48" s="21">
        <f>IF('Debt Inventory'!E11&gt;0,'Debt Inventory'!G11,0)</f>
        <v/>
      </c>
      <c r="L48" s="21">
        <f>IF('Debt Inventory'!E12&gt;0,'Debt Inventory'!G12,0)</f>
        <v/>
      </c>
      <c r="M48" s="21">
        <f>IF('Debt Inventory'!E13&gt;0,'Debt Inventory'!G13,0)</f>
        <v/>
      </c>
      <c r="N48" s="23">
        <f>SUM(D48:M48)</f>
        <v/>
      </c>
    </row>
    <row r="49">
      <c r="B49" t="n">
        <v>46</v>
      </c>
      <c r="C49" s="35">
        <f>EDATE(TODAY(),45)</f>
        <v/>
      </c>
      <c r="D49" s="21">
        <f>IF('Debt Inventory'!E4&gt;0,'Debt Inventory'!G4,0)</f>
        <v/>
      </c>
      <c r="E49" s="21">
        <f>IF('Debt Inventory'!E5&gt;0,'Debt Inventory'!G5,0)</f>
        <v/>
      </c>
      <c r="F49" s="21">
        <f>IF('Debt Inventory'!E6&gt;0,'Debt Inventory'!G6,0)</f>
        <v/>
      </c>
      <c r="G49" s="21">
        <f>IF('Debt Inventory'!E7&gt;0,'Debt Inventory'!G7,0)</f>
        <v/>
      </c>
      <c r="H49" s="21">
        <f>IF('Debt Inventory'!E8&gt;0,'Debt Inventory'!G8,0)</f>
        <v/>
      </c>
      <c r="I49" s="21">
        <f>IF('Debt Inventory'!E9&gt;0,'Debt Inventory'!G9,0)</f>
        <v/>
      </c>
      <c r="J49" s="21">
        <f>IF('Debt Inventory'!E10&gt;0,'Debt Inventory'!G10,0)</f>
        <v/>
      </c>
      <c r="K49" s="21">
        <f>IF('Debt Inventory'!E11&gt;0,'Debt Inventory'!G11,0)</f>
        <v/>
      </c>
      <c r="L49" s="21">
        <f>IF('Debt Inventory'!E12&gt;0,'Debt Inventory'!G12,0)</f>
        <v/>
      </c>
      <c r="M49" s="21">
        <f>IF('Debt Inventory'!E13&gt;0,'Debt Inventory'!G13,0)</f>
        <v/>
      </c>
      <c r="N49" s="23">
        <f>SUM(D49:M49)</f>
        <v/>
      </c>
    </row>
    <row r="50">
      <c r="B50" t="n">
        <v>47</v>
      </c>
      <c r="C50" s="35">
        <f>EDATE(TODAY(),46)</f>
        <v/>
      </c>
      <c r="D50" s="21">
        <f>IF('Debt Inventory'!E4&gt;0,'Debt Inventory'!G4,0)</f>
        <v/>
      </c>
      <c r="E50" s="21">
        <f>IF('Debt Inventory'!E5&gt;0,'Debt Inventory'!G5,0)</f>
        <v/>
      </c>
      <c r="F50" s="21">
        <f>IF('Debt Inventory'!E6&gt;0,'Debt Inventory'!G6,0)</f>
        <v/>
      </c>
      <c r="G50" s="21">
        <f>IF('Debt Inventory'!E7&gt;0,'Debt Inventory'!G7,0)</f>
        <v/>
      </c>
      <c r="H50" s="21">
        <f>IF('Debt Inventory'!E8&gt;0,'Debt Inventory'!G8,0)</f>
        <v/>
      </c>
      <c r="I50" s="21">
        <f>IF('Debt Inventory'!E9&gt;0,'Debt Inventory'!G9,0)</f>
        <v/>
      </c>
      <c r="J50" s="21">
        <f>IF('Debt Inventory'!E10&gt;0,'Debt Inventory'!G10,0)</f>
        <v/>
      </c>
      <c r="K50" s="21">
        <f>IF('Debt Inventory'!E11&gt;0,'Debt Inventory'!G11,0)</f>
        <v/>
      </c>
      <c r="L50" s="21">
        <f>IF('Debt Inventory'!E12&gt;0,'Debt Inventory'!G12,0)</f>
        <v/>
      </c>
      <c r="M50" s="21">
        <f>IF('Debt Inventory'!E13&gt;0,'Debt Inventory'!G13,0)</f>
        <v/>
      </c>
      <c r="N50" s="23">
        <f>SUM(D50:M50)</f>
        <v/>
      </c>
    </row>
    <row r="51">
      <c r="B51" t="n">
        <v>48</v>
      </c>
      <c r="C51" s="35">
        <f>EDATE(TODAY(),47)</f>
        <v/>
      </c>
      <c r="D51" s="21">
        <f>IF('Debt Inventory'!E4&gt;0,'Debt Inventory'!G4,0)</f>
        <v/>
      </c>
      <c r="E51" s="21">
        <f>IF('Debt Inventory'!E5&gt;0,'Debt Inventory'!G5,0)</f>
        <v/>
      </c>
      <c r="F51" s="21">
        <f>IF('Debt Inventory'!E6&gt;0,'Debt Inventory'!G6,0)</f>
        <v/>
      </c>
      <c r="G51" s="21">
        <f>IF('Debt Inventory'!E7&gt;0,'Debt Inventory'!G7,0)</f>
        <v/>
      </c>
      <c r="H51" s="21">
        <f>IF('Debt Inventory'!E8&gt;0,'Debt Inventory'!G8,0)</f>
        <v/>
      </c>
      <c r="I51" s="21">
        <f>IF('Debt Inventory'!E9&gt;0,'Debt Inventory'!G9,0)</f>
        <v/>
      </c>
      <c r="J51" s="21">
        <f>IF('Debt Inventory'!E10&gt;0,'Debt Inventory'!G10,0)</f>
        <v/>
      </c>
      <c r="K51" s="21">
        <f>IF('Debt Inventory'!E11&gt;0,'Debt Inventory'!G11,0)</f>
        <v/>
      </c>
      <c r="L51" s="21">
        <f>IF('Debt Inventory'!E12&gt;0,'Debt Inventory'!G12,0)</f>
        <v/>
      </c>
      <c r="M51" s="21">
        <f>IF('Debt Inventory'!E13&gt;0,'Debt Inventory'!G13,0)</f>
        <v/>
      </c>
      <c r="N51" s="23">
        <f>SUM(D51:M51)</f>
        <v/>
      </c>
    </row>
    <row r="52">
      <c r="B52" t="n">
        <v>49</v>
      </c>
      <c r="C52" s="35">
        <f>EDATE(TODAY(),48)</f>
        <v/>
      </c>
      <c r="D52" s="21">
        <f>IF('Debt Inventory'!E4&gt;0,'Debt Inventory'!G4,0)</f>
        <v/>
      </c>
      <c r="E52" s="21">
        <f>IF('Debt Inventory'!E5&gt;0,'Debt Inventory'!G5,0)</f>
        <v/>
      </c>
      <c r="F52" s="21">
        <f>IF('Debt Inventory'!E6&gt;0,'Debt Inventory'!G6,0)</f>
        <v/>
      </c>
      <c r="G52" s="21">
        <f>IF('Debt Inventory'!E7&gt;0,'Debt Inventory'!G7,0)</f>
        <v/>
      </c>
      <c r="H52" s="21">
        <f>IF('Debt Inventory'!E8&gt;0,'Debt Inventory'!G8,0)</f>
        <v/>
      </c>
      <c r="I52" s="21">
        <f>IF('Debt Inventory'!E9&gt;0,'Debt Inventory'!G9,0)</f>
        <v/>
      </c>
      <c r="J52" s="21">
        <f>IF('Debt Inventory'!E10&gt;0,'Debt Inventory'!G10,0)</f>
        <v/>
      </c>
      <c r="K52" s="21">
        <f>IF('Debt Inventory'!E11&gt;0,'Debt Inventory'!G11,0)</f>
        <v/>
      </c>
      <c r="L52" s="21">
        <f>IF('Debt Inventory'!E12&gt;0,'Debt Inventory'!G12,0)</f>
        <v/>
      </c>
      <c r="M52" s="21">
        <f>IF('Debt Inventory'!E13&gt;0,'Debt Inventory'!G13,0)</f>
        <v/>
      </c>
      <c r="N52" s="23">
        <f>SUM(D52:M52)</f>
        <v/>
      </c>
    </row>
    <row r="53">
      <c r="B53" t="n">
        <v>50</v>
      </c>
      <c r="C53" s="35">
        <f>EDATE(TODAY(),49)</f>
        <v/>
      </c>
      <c r="D53" s="21">
        <f>IF('Debt Inventory'!E4&gt;0,'Debt Inventory'!G4,0)</f>
        <v/>
      </c>
      <c r="E53" s="21">
        <f>IF('Debt Inventory'!E5&gt;0,'Debt Inventory'!G5,0)</f>
        <v/>
      </c>
      <c r="F53" s="21">
        <f>IF('Debt Inventory'!E6&gt;0,'Debt Inventory'!G6,0)</f>
        <v/>
      </c>
      <c r="G53" s="21">
        <f>IF('Debt Inventory'!E7&gt;0,'Debt Inventory'!G7,0)</f>
        <v/>
      </c>
      <c r="H53" s="21">
        <f>IF('Debt Inventory'!E8&gt;0,'Debt Inventory'!G8,0)</f>
        <v/>
      </c>
      <c r="I53" s="21">
        <f>IF('Debt Inventory'!E9&gt;0,'Debt Inventory'!G9,0)</f>
        <v/>
      </c>
      <c r="J53" s="21">
        <f>IF('Debt Inventory'!E10&gt;0,'Debt Inventory'!G10,0)</f>
        <v/>
      </c>
      <c r="K53" s="21">
        <f>IF('Debt Inventory'!E11&gt;0,'Debt Inventory'!G11,0)</f>
        <v/>
      </c>
      <c r="L53" s="21">
        <f>IF('Debt Inventory'!E12&gt;0,'Debt Inventory'!G12,0)</f>
        <v/>
      </c>
      <c r="M53" s="21">
        <f>IF('Debt Inventory'!E13&gt;0,'Debt Inventory'!G13,0)</f>
        <v/>
      </c>
      <c r="N53" s="23">
        <f>SUM(D53:M53)</f>
        <v/>
      </c>
    </row>
    <row r="54">
      <c r="B54" t="n">
        <v>51</v>
      </c>
      <c r="C54" s="35">
        <f>EDATE(TODAY(),50)</f>
        <v/>
      </c>
      <c r="D54" s="21">
        <f>IF('Debt Inventory'!E4&gt;0,'Debt Inventory'!G4,0)</f>
        <v/>
      </c>
      <c r="E54" s="21">
        <f>IF('Debt Inventory'!E5&gt;0,'Debt Inventory'!G5,0)</f>
        <v/>
      </c>
      <c r="F54" s="21">
        <f>IF('Debt Inventory'!E6&gt;0,'Debt Inventory'!G6,0)</f>
        <v/>
      </c>
      <c r="G54" s="21">
        <f>IF('Debt Inventory'!E7&gt;0,'Debt Inventory'!G7,0)</f>
        <v/>
      </c>
      <c r="H54" s="21">
        <f>IF('Debt Inventory'!E8&gt;0,'Debt Inventory'!G8,0)</f>
        <v/>
      </c>
      <c r="I54" s="21">
        <f>IF('Debt Inventory'!E9&gt;0,'Debt Inventory'!G9,0)</f>
        <v/>
      </c>
      <c r="J54" s="21">
        <f>IF('Debt Inventory'!E10&gt;0,'Debt Inventory'!G10,0)</f>
        <v/>
      </c>
      <c r="K54" s="21">
        <f>IF('Debt Inventory'!E11&gt;0,'Debt Inventory'!G11,0)</f>
        <v/>
      </c>
      <c r="L54" s="21">
        <f>IF('Debt Inventory'!E12&gt;0,'Debt Inventory'!G12,0)</f>
        <v/>
      </c>
      <c r="M54" s="21">
        <f>IF('Debt Inventory'!E13&gt;0,'Debt Inventory'!G13,0)</f>
        <v/>
      </c>
      <c r="N54" s="23">
        <f>SUM(D54:M54)</f>
        <v/>
      </c>
    </row>
    <row r="55">
      <c r="B55" t="n">
        <v>52</v>
      </c>
      <c r="C55" s="35">
        <f>EDATE(TODAY(),51)</f>
        <v/>
      </c>
      <c r="D55" s="21">
        <f>IF('Debt Inventory'!E4&gt;0,'Debt Inventory'!G4,0)</f>
        <v/>
      </c>
      <c r="E55" s="21">
        <f>IF('Debt Inventory'!E5&gt;0,'Debt Inventory'!G5,0)</f>
        <v/>
      </c>
      <c r="F55" s="21">
        <f>IF('Debt Inventory'!E6&gt;0,'Debt Inventory'!G6,0)</f>
        <v/>
      </c>
      <c r="G55" s="21">
        <f>IF('Debt Inventory'!E7&gt;0,'Debt Inventory'!G7,0)</f>
        <v/>
      </c>
      <c r="H55" s="21">
        <f>IF('Debt Inventory'!E8&gt;0,'Debt Inventory'!G8,0)</f>
        <v/>
      </c>
      <c r="I55" s="21">
        <f>IF('Debt Inventory'!E9&gt;0,'Debt Inventory'!G9,0)</f>
        <v/>
      </c>
      <c r="J55" s="21">
        <f>IF('Debt Inventory'!E10&gt;0,'Debt Inventory'!G10,0)</f>
        <v/>
      </c>
      <c r="K55" s="21">
        <f>IF('Debt Inventory'!E11&gt;0,'Debt Inventory'!G11,0)</f>
        <v/>
      </c>
      <c r="L55" s="21">
        <f>IF('Debt Inventory'!E12&gt;0,'Debt Inventory'!G12,0)</f>
        <v/>
      </c>
      <c r="M55" s="21">
        <f>IF('Debt Inventory'!E13&gt;0,'Debt Inventory'!G13,0)</f>
        <v/>
      </c>
      <c r="N55" s="23">
        <f>SUM(D55:M55)</f>
        <v/>
      </c>
    </row>
    <row r="56">
      <c r="B56" t="n">
        <v>53</v>
      </c>
      <c r="C56" s="35">
        <f>EDATE(TODAY(),52)</f>
        <v/>
      </c>
      <c r="D56" s="21">
        <f>IF('Debt Inventory'!E4&gt;0,'Debt Inventory'!G4,0)</f>
        <v/>
      </c>
      <c r="E56" s="21">
        <f>IF('Debt Inventory'!E5&gt;0,'Debt Inventory'!G5,0)</f>
        <v/>
      </c>
      <c r="F56" s="21">
        <f>IF('Debt Inventory'!E6&gt;0,'Debt Inventory'!G6,0)</f>
        <v/>
      </c>
      <c r="G56" s="21">
        <f>IF('Debt Inventory'!E7&gt;0,'Debt Inventory'!G7,0)</f>
        <v/>
      </c>
      <c r="H56" s="21">
        <f>IF('Debt Inventory'!E8&gt;0,'Debt Inventory'!G8,0)</f>
        <v/>
      </c>
      <c r="I56" s="21">
        <f>IF('Debt Inventory'!E9&gt;0,'Debt Inventory'!G9,0)</f>
        <v/>
      </c>
      <c r="J56" s="21">
        <f>IF('Debt Inventory'!E10&gt;0,'Debt Inventory'!G10,0)</f>
        <v/>
      </c>
      <c r="K56" s="21">
        <f>IF('Debt Inventory'!E11&gt;0,'Debt Inventory'!G11,0)</f>
        <v/>
      </c>
      <c r="L56" s="21">
        <f>IF('Debt Inventory'!E12&gt;0,'Debt Inventory'!G12,0)</f>
        <v/>
      </c>
      <c r="M56" s="21">
        <f>IF('Debt Inventory'!E13&gt;0,'Debt Inventory'!G13,0)</f>
        <v/>
      </c>
      <c r="N56" s="23">
        <f>SUM(D56:M56)</f>
        <v/>
      </c>
    </row>
    <row r="57">
      <c r="B57" t="n">
        <v>54</v>
      </c>
      <c r="C57" s="35">
        <f>EDATE(TODAY(),53)</f>
        <v/>
      </c>
      <c r="D57" s="21">
        <f>IF('Debt Inventory'!E4&gt;0,'Debt Inventory'!G4,0)</f>
        <v/>
      </c>
      <c r="E57" s="21">
        <f>IF('Debt Inventory'!E5&gt;0,'Debt Inventory'!G5,0)</f>
        <v/>
      </c>
      <c r="F57" s="21">
        <f>IF('Debt Inventory'!E6&gt;0,'Debt Inventory'!G6,0)</f>
        <v/>
      </c>
      <c r="G57" s="21">
        <f>IF('Debt Inventory'!E7&gt;0,'Debt Inventory'!G7,0)</f>
        <v/>
      </c>
      <c r="H57" s="21">
        <f>IF('Debt Inventory'!E8&gt;0,'Debt Inventory'!G8,0)</f>
        <v/>
      </c>
      <c r="I57" s="21">
        <f>IF('Debt Inventory'!E9&gt;0,'Debt Inventory'!G9,0)</f>
        <v/>
      </c>
      <c r="J57" s="21">
        <f>IF('Debt Inventory'!E10&gt;0,'Debt Inventory'!G10,0)</f>
        <v/>
      </c>
      <c r="K57" s="21">
        <f>IF('Debt Inventory'!E11&gt;0,'Debt Inventory'!G11,0)</f>
        <v/>
      </c>
      <c r="L57" s="21">
        <f>IF('Debt Inventory'!E12&gt;0,'Debt Inventory'!G12,0)</f>
        <v/>
      </c>
      <c r="M57" s="21">
        <f>IF('Debt Inventory'!E13&gt;0,'Debt Inventory'!G13,0)</f>
        <v/>
      </c>
      <c r="N57" s="23">
        <f>SUM(D57:M57)</f>
        <v/>
      </c>
    </row>
    <row r="58">
      <c r="B58" t="n">
        <v>55</v>
      </c>
      <c r="C58" s="35">
        <f>EDATE(TODAY(),54)</f>
        <v/>
      </c>
      <c r="D58" s="21">
        <f>IF('Debt Inventory'!E4&gt;0,'Debt Inventory'!G4,0)</f>
        <v/>
      </c>
      <c r="E58" s="21">
        <f>IF('Debt Inventory'!E5&gt;0,'Debt Inventory'!G5,0)</f>
        <v/>
      </c>
      <c r="F58" s="21">
        <f>IF('Debt Inventory'!E6&gt;0,'Debt Inventory'!G6,0)</f>
        <v/>
      </c>
      <c r="G58" s="21">
        <f>IF('Debt Inventory'!E7&gt;0,'Debt Inventory'!G7,0)</f>
        <v/>
      </c>
      <c r="H58" s="21">
        <f>IF('Debt Inventory'!E8&gt;0,'Debt Inventory'!G8,0)</f>
        <v/>
      </c>
      <c r="I58" s="21">
        <f>IF('Debt Inventory'!E9&gt;0,'Debt Inventory'!G9,0)</f>
        <v/>
      </c>
      <c r="J58" s="21">
        <f>IF('Debt Inventory'!E10&gt;0,'Debt Inventory'!G10,0)</f>
        <v/>
      </c>
      <c r="K58" s="21">
        <f>IF('Debt Inventory'!E11&gt;0,'Debt Inventory'!G11,0)</f>
        <v/>
      </c>
      <c r="L58" s="21">
        <f>IF('Debt Inventory'!E12&gt;0,'Debt Inventory'!G12,0)</f>
        <v/>
      </c>
      <c r="M58" s="21">
        <f>IF('Debt Inventory'!E13&gt;0,'Debt Inventory'!G13,0)</f>
        <v/>
      </c>
      <c r="N58" s="23">
        <f>SUM(D58:M58)</f>
        <v/>
      </c>
    </row>
    <row r="59">
      <c r="B59" t="n">
        <v>56</v>
      </c>
      <c r="C59" s="35">
        <f>EDATE(TODAY(),55)</f>
        <v/>
      </c>
      <c r="D59" s="21">
        <f>IF('Debt Inventory'!E4&gt;0,'Debt Inventory'!G4,0)</f>
        <v/>
      </c>
      <c r="E59" s="21">
        <f>IF('Debt Inventory'!E5&gt;0,'Debt Inventory'!G5,0)</f>
        <v/>
      </c>
      <c r="F59" s="21">
        <f>IF('Debt Inventory'!E6&gt;0,'Debt Inventory'!G6,0)</f>
        <v/>
      </c>
      <c r="G59" s="21">
        <f>IF('Debt Inventory'!E7&gt;0,'Debt Inventory'!G7,0)</f>
        <v/>
      </c>
      <c r="H59" s="21">
        <f>IF('Debt Inventory'!E8&gt;0,'Debt Inventory'!G8,0)</f>
        <v/>
      </c>
      <c r="I59" s="21">
        <f>IF('Debt Inventory'!E9&gt;0,'Debt Inventory'!G9,0)</f>
        <v/>
      </c>
      <c r="J59" s="21">
        <f>IF('Debt Inventory'!E10&gt;0,'Debt Inventory'!G10,0)</f>
        <v/>
      </c>
      <c r="K59" s="21">
        <f>IF('Debt Inventory'!E11&gt;0,'Debt Inventory'!G11,0)</f>
        <v/>
      </c>
      <c r="L59" s="21">
        <f>IF('Debt Inventory'!E12&gt;0,'Debt Inventory'!G12,0)</f>
        <v/>
      </c>
      <c r="M59" s="21">
        <f>IF('Debt Inventory'!E13&gt;0,'Debt Inventory'!G13,0)</f>
        <v/>
      </c>
      <c r="N59" s="23">
        <f>SUM(D59:M59)</f>
        <v/>
      </c>
    </row>
    <row r="60">
      <c r="B60" t="n">
        <v>57</v>
      </c>
      <c r="C60" s="35">
        <f>EDATE(TODAY(),56)</f>
        <v/>
      </c>
      <c r="D60" s="21">
        <f>IF('Debt Inventory'!E4&gt;0,'Debt Inventory'!G4,0)</f>
        <v/>
      </c>
      <c r="E60" s="21">
        <f>IF('Debt Inventory'!E5&gt;0,'Debt Inventory'!G5,0)</f>
        <v/>
      </c>
      <c r="F60" s="21">
        <f>IF('Debt Inventory'!E6&gt;0,'Debt Inventory'!G6,0)</f>
        <v/>
      </c>
      <c r="G60" s="21">
        <f>IF('Debt Inventory'!E7&gt;0,'Debt Inventory'!G7,0)</f>
        <v/>
      </c>
      <c r="H60" s="21">
        <f>IF('Debt Inventory'!E8&gt;0,'Debt Inventory'!G8,0)</f>
        <v/>
      </c>
      <c r="I60" s="21">
        <f>IF('Debt Inventory'!E9&gt;0,'Debt Inventory'!G9,0)</f>
        <v/>
      </c>
      <c r="J60" s="21">
        <f>IF('Debt Inventory'!E10&gt;0,'Debt Inventory'!G10,0)</f>
        <v/>
      </c>
      <c r="K60" s="21">
        <f>IF('Debt Inventory'!E11&gt;0,'Debt Inventory'!G11,0)</f>
        <v/>
      </c>
      <c r="L60" s="21">
        <f>IF('Debt Inventory'!E12&gt;0,'Debt Inventory'!G12,0)</f>
        <v/>
      </c>
      <c r="M60" s="21">
        <f>IF('Debt Inventory'!E13&gt;0,'Debt Inventory'!G13,0)</f>
        <v/>
      </c>
      <c r="N60" s="23">
        <f>SUM(D60:M60)</f>
        <v/>
      </c>
    </row>
    <row r="61">
      <c r="B61" t="n">
        <v>58</v>
      </c>
      <c r="C61" s="35">
        <f>EDATE(TODAY(),57)</f>
        <v/>
      </c>
      <c r="D61" s="21">
        <f>IF('Debt Inventory'!E4&gt;0,'Debt Inventory'!G4,0)</f>
        <v/>
      </c>
      <c r="E61" s="21">
        <f>IF('Debt Inventory'!E5&gt;0,'Debt Inventory'!G5,0)</f>
        <v/>
      </c>
      <c r="F61" s="21">
        <f>IF('Debt Inventory'!E6&gt;0,'Debt Inventory'!G6,0)</f>
        <v/>
      </c>
      <c r="G61" s="21">
        <f>IF('Debt Inventory'!E7&gt;0,'Debt Inventory'!G7,0)</f>
        <v/>
      </c>
      <c r="H61" s="21">
        <f>IF('Debt Inventory'!E8&gt;0,'Debt Inventory'!G8,0)</f>
        <v/>
      </c>
      <c r="I61" s="21">
        <f>IF('Debt Inventory'!E9&gt;0,'Debt Inventory'!G9,0)</f>
        <v/>
      </c>
      <c r="J61" s="21">
        <f>IF('Debt Inventory'!E10&gt;0,'Debt Inventory'!G10,0)</f>
        <v/>
      </c>
      <c r="K61" s="21">
        <f>IF('Debt Inventory'!E11&gt;0,'Debt Inventory'!G11,0)</f>
        <v/>
      </c>
      <c r="L61" s="21">
        <f>IF('Debt Inventory'!E12&gt;0,'Debt Inventory'!G12,0)</f>
        <v/>
      </c>
      <c r="M61" s="21">
        <f>IF('Debt Inventory'!E13&gt;0,'Debt Inventory'!G13,0)</f>
        <v/>
      </c>
      <c r="N61" s="23">
        <f>SUM(D61:M61)</f>
        <v/>
      </c>
    </row>
    <row r="62">
      <c r="B62" t="n">
        <v>59</v>
      </c>
      <c r="C62" s="35">
        <f>EDATE(TODAY(),58)</f>
        <v/>
      </c>
      <c r="D62" s="21">
        <f>IF('Debt Inventory'!E4&gt;0,'Debt Inventory'!G4,0)</f>
        <v/>
      </c>
      <c r="E62" s="21">
        <f>IF('Debt Inventory'!E5&gt;0,'Debt Inventory'!G5,0)</f>
        <v/>
      </c>
      <c r="F62" s="21">
        <f>IF('Debt Inventory'!E6&gt;0,'Debt Inventory'!G6,0)</f>
        <v/>
      </c>
      <c r="G62" s="21">
        <f>IF('Debt Inventory'!E7&gt;0,'Debt Inventory'!G7,0)</f>
        <v/>
      </c>
      <c r="H62" s="21">
        <f>IF('Debt Inventory'!E8&gt;0,'Debt Inventory'!G8,0)</f>
        <v/>
      </c>
      <c r="I62" s="21">
        <f>IF('Debt Inventory'!E9&gt;0,'Debt Inventory'!G9,0)</f>
        <v/>
      </c>
      <c r="J62" s="21">
        <f>IF('Debt Inventory'!E10&gt;0,'Debt Inventory'!G10,0)</f>
        <v/>
      </c>
      <c r="K62" s="21">
        <f>IF('Debt Inventory'!E11&gt;0,'Debt Inventory'!G11,0)</f>
        <v/>
      </c>
      <c r="L62" s="21">
        <f>IF('Debt Inventory'!E12&gt;0,'Debt Inventory'!G12,0)</f>
        <v/>
      </c>
      <c r="M62" s="21">
        <f>IF('Debt Inventory'!E13&gt;0,'Debt Inventory'!G13,0)</f>
        <v/>
      </c>
      <c r="N62" s="23">
        <f>SUM(D62:M62)</f>
        <v/>
      </c>
    </row>
    <row r="63">
      <c r="B63" t="n">
        <v>60</v>
      </c>
      <c r="C63" s="35">
        <f>EDATE(TODAY(),59)</f>
        <v/>
      </c>
      <c r="D63" s="21">
        <f>IF('Debt Inventory'!E4&gt;0,'Debt Inventory'!G4,0)</f>
        <v/>
      </c>
      <c r="E63" s="21">
        <f>IF('Debt Inventory'!E5&gt;0,'Debt Inventory'!G5,0)</f>
        <v/>
      </c>
      <c r="F63" s="21">
        <f>IF('Debt Inventory'!E6&gt;0,'Debt Inventory'!G6,0)</f>
        <v/>
      </c>
      <c r="G63" s="21">
        <f>IF('Debt Inventory'!E7&gt;0,'Debt Inventory'!G7,0)</f>
        <v/>
      </c>
      <c r="H63" s="21">
        <f>IF('Debt Inventory'!E8&gt;0,'Debt Inventory'!G8,0)</f>
        <v/>
      </c>
      <c r="I63" s="21">
        <f>IF('Debt Inventory'!E9&gt;0,'Debt Inventory'!G9,0)</f>
        <v/>
      </c>
      <c r="J63" s="21">
        <f>IF('Debt Inventory'!E10&gt;0,'Debt Inventory'!G10,0)</f>
        <v/>
      </c>
      <c r="K63" s="21">
        <f>IF('Debt Inventory'!E11&gt;0,'Debt Inventory'!G11,0)</f>
        <v/>
      </c>
      <c r="L63" s="21">
        <f>IF('Debt Inventory'!E12&gt;0,'Debt Inventory'!G12,0)</f>
        <v/>
      </c>
      <c r="M63" s="21">
        <f>IF('Debt Inventory'!E13&gt;0,'Debt Inventory'!G13,0)</f>
        <v/>
      </c>
      <c r="N63" s="23">
        <f>SUM(D63:M63)</f>
        <v/>
      </c>
    </row>
    <row r="66">
      <c r="B66" s="24" t="inlineStr">
        <is>
          <t>NOTE: This schedule shows projected payments based on your Debt Inventory. The snowball/avalanche calculations automatically reallocate payments as debts are paid off.</t>
        </is>
      </c>
    </row>
    <row r="67"/>
  </sheetData>
  <mergeCells count="2">
    <mergeCell ref="B1:N1"/>
    <mergeCell ref="B66:N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L62"/>
  <sheetViews>
    <sheetView workbookViewId="0">
      <selection activeCell="A1" sqref="A1"/>
    </sheetView>
  </sheetViews>
  <sheetFormatPr baseColWidth="8" defaultRowHeight="15"/>
  <cols>
    <col width="3" customWidth="1" min="1" max="1"/>
    <col width="20" customWidth="1" min="2" max="2"/>
    <col width="15" customWidth="1" min="3" max="3"/>
    <col width="15" customWidth="1" min="4" max="4"/>
    <col width="15" customWidth="1" min="5" max="5"/>
    <col width="15" customWidth="1" min="6" max="6"/>
    <col width="12" customWidth="1" min="7" max="7"/>
    <col width="18" customWidth="1" min="8" max="8"/>
    <col width="3" customWidth="1" min="9" max="9"/>
    <col width="20" customWidth="1" min="10" max="10"/>
    <col width="15" customWidth="1" min="11" max="11"/>
    <col width="15" customWidth="1" min="12" max="12"/>
  </cols>
  <sheetData>
    <row r="1">
      <c r="B1" s="16" t="inlineStr">
        <is>
          <t>PAYMENT TRACKER</t>
        </is>
      </c>
    </row>
    <row r="3">
      <c r="B3" t="inlineStr">
        <is>
          <t>Tracking Year:</t>
        </is>
      </c>
      <c r="C3" s="36" t="n">
        <v>2025</v>
      </c>
    </row>
    <row r="5">
      <c r="B5" s="3" t="inlineStr">
        <is>
          <t>JANUARY</t>
        </is>
      </c>
      <c r="J5" s="3" t="inlineStr">
        <is>
          <t>YEAR-TO-DATE SUMMARY</t>
        </is>
      </c>
      <c r="K5" s="37" t="n"/>
      <c r="L5" s="38" t="n"/>
    </row>
    <row r="6">
      <c r="B6" s="12" t="inlineStr">
        <is>
          <t>Debt Name</t>
        </is>
      </c>
      <c r="C6" s="12" t="inlineStr">
        <is>
          <t>Planned</t>
        </is>
      </c>
      <c r="D6" s="12" t="inlineStr">
        <is>
          <t>Actual</t>
        </is>
      </c>
      <c r="E6" s="12" t="inlineStr">
        <is>
          <t>Variance</t>
        </is>
      </c>
      <c r="F6" s="12" t="inlineStr">
        <is>
          <t>Date Paid</t>
        </is>
      </c>
      <c r="G6" s="12" t="inlineStr">
        <is>
          <t>Confirmation</t>
        </is>
      </c>
    </row>
    <row r="7">
      <c r="B7" s="39">
        <f>'Debt Inventory'!B4</f>
        <v/>
      </c>
      <c r="C7" s="21">
        <f>'Debt Inventory'!G4</f>
        <v/>
      </c>
      <c r="D7" s="18" t="n"/>
      <c r="E7" s="21">
        <f>D7-C7</f>
        <v/>
      </c>
      <c r="F7" s="20" t="n"/>
      <c r="G7" s="17" t="n"/>
      <c r="J7" t="inlineStr">
        <is>
          <t>Total Planned:</t>
        </is>
      </c>
      <c r="K7" s="9">
        <f>SUM(C:C)</f>
        <v/>
      </c>
    </row>
    <row r="8">
      <c r="B8" s="39">
        <f>'Debt Inventory'!B5</f>
        <v/>
      </c>
      <c r="C8" s="21">
        <f>'Debt Inventory'!G5</f>
        <v/>
      </c>
      <c r="D8" s="18" t="n"/>
      <c r="E8" s="21">
        <f>D8-C8</f>
        <v/>
      </c>
      <c r="F8" s="20" t="n"/>
      <c r="G8" s="17" t="n"/>
      <c r="J8" t="inlineStr">
        <is>
          <t>Total Paid:</t>
        </is>
      </c>
      <c r="K8" s="9">
        <f>SUM(D:D)</f>
        <v/>
      </c>
    </row>
    <row r="9">
      <c r="B9" s="39">
        <f>'Debt Inventory'!B6</f>
        <v/>
      </c>
      <c r="C9" s="21">
        <f>'Debt Inventory'!G6</f>
        <v/>
      </c>
      <c r="D9" s="18" t="n"/>
      <c r="E9" s="21">
        <f>D9-C9</f>
        <v/>
      </c>
      <c r="F9" s="20" t="n"/>
      <c r="G9" s="17" t="n"/>
      <c r="J9" t="inlineStr">
        <is>
          <t>Variance:</t>
        </is>
      </c>
      <c r="K9" s="9">
        <f>K8-K7</f>
        <v/>
      </c>
    </row>
    <row r="10">
      <c r="B10" s="39">
        <f>'Debt Inventory'!B7</f>
        <v/>
      </c>
      <c r="C10" s="21">
        <f>'Debt Inventory'!G7</f>
        <v/>
      </c>
      <c r="D10" s="18" t="n"/>
      <c r="E10" s="21">
        <f>D10-C10</f>
        <v/>
      </c>
      <c r="F10" s="20" t="n"/>
      <c r="G10" s="17" t="n"/>
    </row>
    <row r="11">
      <c r="B11" s="39">
        <f>'Debt Inventory'!B8</f>
        <v/>
      </c>
      <c r="C11" s="21">
        <f>'Debt Inventory'!G8</f>
        <v/>
      </c>
      <c r="D11" s="18" t="n"/>
      <c r="E11" s="21">
        <f>D11-C11</f>
        <v/>
      </c>
      <c r="F11" s="20" t="n"/>
      <c r="G11" s="17" t="n"/>
      <c r="J11" t="inlineStr">
        <is>
          <t>On-Time Payments:</t>
        </is>
      </c>
      <c r="K11">
        <f>COUNTIF(F:F,"&gt;0")</f>
        <v/>
      </c>
    </row>
    <row r="12">
      <c r="B12" s="4" t="inlineStr">
        <is>
          <t>TOTAL</t>
        </is>
      </c>
      <c r="C12" s="23">
        <f>SUM(C7:C11)</f>
        <v/>
      </c>
      <c r="D12" s="23">
        <f>SUM(D7:D11)</f>
        <v/>
      </c>
      <c r="E12" s="23">
        <f>D12-C12</f>
        <v/>
      </c>
    </row>
    <row r="15">
      <c r="B15" s="3" t="inlineStr">
        <is>
          <t>FEBRUARY</t>
        </is>
      </c>
    </row>
    <row r="16">
      <c r="B16" s="12" t="inlineStr">
        <is>
          <t>Debt Name</t>
        </is>
      </c>
      <c r="C16" s="12" t="inlineStr">
        <is>
          <t>Planned</t>
        </is>
      </c>
      <c r="D16" s="12" t="inlineStr">
        <is>
          <t>Actual</t>
        </is>
      </c>
      <c r="E16" s="12" t="inlineStr">
        <is>
          <t>Variance</t>
        </is>
      </c>
      <c r="F16" s="12" t="inlineStr">
        <is>
          <t>Date Paid</t>
        </is>
      </c>
      <c r="G16" s="12" t="inlineStr">
        <is>
          <t>Confirmation</t>
        </is>
      </c>
    </row>
    <row r="17">
      <c r="B17" s="39">
        <f>'Debt Inventory'!B4</f>
        <v/>
      </c>
      <c r="C17" s="21">
        <f>'Debt Inventory'!G4</f>
        <v/>
      </c>
      <c r="D17" s="18" t="n"/>
      <c r="E17" s="21">
        <f>D17-C17</f>
        <v/>
      </c>
      <c r="F17" s="20" t="n"/>
      <c r="G17" s="17" t="n"/>
    </row>
    <row r="18">
      <c r="B18" s="39">
        <f>'Debt Inventory'!B5</f>
        <v/>
      </c>
      <c r="C18" s="21">
        <f>'Debt Inventory'!G5</f>
        <v/>
      </c>
      <c r="D18" s="18" t="n"/>
      <c r="E18" s="21">
        <f>D18-C18</f>
        <v/>
      </c>
      <c r="F18" s="20" t="n"/>
      <c r="G18" s="17" t="n"/>
    </row>
    <row r="19">
      <c r="B19" s="39">
        <f>'Debt Inventory'!B6</f>
        <v/>
      </c>
      <c r="C19" s="21">
        <f>'Debt Inventory'!G6</f>
        <v/>
      </c>
      <c r="D19" s="18" t="n"/>
      <c r="E19" s="21">
        <f>D19-C19</f>
        <v/>
      </c>
      <c r="F19" s="20" t="n"/>
      <c r="G19" s="17" t="n"/>
    </row>
    <row r="20">
      <c r="B20" s="39">
        <f>'Debt Inventory'!B7</f>
        <v/>
      </c>
      <c r="C20" s="21">
        <f>'Debt Inventory'!G7</f>
        <v/>
      </c>
      <c r="D20" s="18" t="n"/>
      <c r="E20" s="21">
        <f>D20-C20</f>
        <v/>
      </c>
      <c r="F20" s="20" t="n"/>
      <c r="G20" s="17" t="n"/>
    </row>
    <row r="21">
      <c r="B21" s="39">
        <f>'Debt Inventory'!B8</f>
        <v/>
      </c>
      <c r="C21" s="21">
        <f>'Debt Inventory'!G8</f>
        <v/>
      </c>
      <c r="D21" s="18" t="n"/>
      <c r="E21" s="21">
        <f>D21-C21</f>
        <v/>
      </c>
      <c r="F21" s="20" t="n"/>
      <c r="G21" s="17" t="n"/>
    </row>
    <row r="22">
      <c r="B22" s="4" t="inlineStr">
        <is>
          <t>TOTAL</t>
        </is>
      </c>
      <c r="C22" s="23">
        <f>SUM(C17:C21)</f>
        <v/>
      </c>
      <c r="D22" s="23">
        <f>SUM(D17:D21)</f>
        <v/>
      </c>
      <c r="E22" s="23">
        <f>D22-C22</f>
        <v/>
      </c>
    </row>
    <row r="25">
      <c r="B25" s="3" t="inlineStr">
        <is>
          <t>MARCH</t>
        </is>
      </c>
    </row>
    <row r="26">
      <c r="B26" s="12" t="inlineStr">
        <is>
          <t>Debt Name</t>
        </is>
      </c>
      <c r="C26" s="12" t="inlineStr">
        <is>
          <t>Planned</t>
        </is>
      </c>
      <c r="D26" s="12" t="inlineStr">
        <is>
          <t>Actual</t>
        </is>
      </c>
      <c r="E26" s="12" t="inlineStr">
        <is>
          <t>Variance</t>
        </is>
      </c>
      <c r="F26" s="12" t="inlineStr">
        <is>
          <t>Date Paid</t>
        </is>
      </c>
      <c r="G26" s="12" t="inlineStr">
        <is>
          <t>Confirmation</t>
        </is>
      </c>
    </row>
    <row r="27">
      <c r="B27" s="39">
        <f>'Debt Inventory'!B4</f>
        <v/>
      </c>
      <c r="C27" s="21">
        <f>'Debt Inventory'!G4</f>
        <v/>
      </c>
      <c r="D27" s="18" t="n"/>
      <c r="E27" s="21">
        <f>D27-C27</f>
        <v/>
      </c>
      <c r="F27" s="20" t="n"/>
      <c r="G27" s="17" t="n"/>
    </row>
    <row r="28">
      <c r="B28" s="39">
        <f>'Debt Inventory'!B5</f>
        <v/>
      </c>
      <c r="C28" s="21">
        <f>'Debt Inventory'!G5</f>
        <v/>
      </c>
      <c r="D28" s="18" t="n"/>
      <c r="E28" s="21">
        <f>D28-C28</f>
        <v/>
      </c>
      <c r="F28" s="20" t="n"/>
      <c r="G28" s="17" t="n"/>
    </row>
    <row r="29">
      <c r="B29" s="39">
        <f>'Debt Inventory'!B6</f>
        <v/>
      </c>
      <c r="C29" s="21">
        <f>'Debt Inventory'!G6</f>
        <v/>
      </c>
      <c r="D29" s="18" t="n"/>
      <c r="E29" s="21">
        <f>D29-C29</f>
        <v/>
      </c>
      <c r="F29" s="20" t="n"/>
      <c r="G29" s="17" t="n"/>
    </row>
    <row r="30">
      <c r="B30" s="39">
        <f>'Debt Inventory'!B7</f>
        <v/>
      </c>
      <c r="C30" s="21">
        <f>'Debt Inventory'!G7</f>
        <v/>
      </c>
      <c r="D30" s="18" t="n"/>
      <c r="E30" s="21">
        <f>D30-C30</f>
        <v/>
      </c>
      <c r="F30" s="20" t="n"/>
      <c r="G30" s="17" t="n"/>
    </row>
    <row r="31">
      <c r="B31" s="39">
        <f>'Debt Inventory'!B8</f>
        <v/>
      </c>
      <c r="C31" s="21">
        <f>'Debt Inventory'!G8</f>
        <v/>
      </c>
      <c r="D31" s="18" t="n"/>
      <c r="E31" s="21">
        <f>D31-C31</f>
        <v/>
      </c>
      <c r="F31" s="20" t="n"/>
      <c r="G31" s="17" t="n"/>
    </row>
    <row r="32">
      <c r="B32" s="4" t="inlineStr">
        <is>
          <t>TOTAL</t>
        </is>
      </c>
      <c r="C32" s="23">
        <f>SUM(C27:C31)</f>
        <v/>
      </c>
      <c r="D32" s="23">
        <f>SUM(D27:D31)</f>
        <v/>
      </c>
      <c r="E32" s="23">
        <f>D32-C32</f>
        <v/>
      </c>
    </row>
    <row r="35">
      <c r="B35" s="3" t="inlineStr">
        <is>
          <t>APRIL</t>
        </is>
      </c>
    </row>
    <row r="36">
      <c r="B36" s="12" t="inlineStr">
        <is>
          <t>Debt Name</t>
        </is>
      </c>
      <c r="C36" s="12" t="inlineStr">
        <is>
          <t>Planned</t>
        </is>
      </c>
      <c r="D36" s="12" t="inlineStr">
        <is>
          <t>Actual</t>
        </is>
      </c>
      <c r="E36" s="12" t="inlineStr">
        <is>
          <t>Variance</t>
        </is>
      </c>
      <c r="F36" s="12" t="inlineStr">
        <is>
          <t>Date Paid</t>
        </is>
      </c>
      <c r="G36" s="12" t="inlineStr">
        <is>
          <t>Confirmation</t>
        </is>
      </c>
    </row>
    <row r="37">
      <c r="B37" s="39">
        <f>'Debt Inventory'!B4</f>
        <v/>
      </c>
      <c r="C37" s="21">
        <f>'Debt Inventory'!G4</f>
        <v/>
      </c>
      <c r="D37" s="18" t="n"/>
      <c r="E37" s="21">
        <f>D37-C37</f>
        <v/>
      </c>
      <c r="F37" s="20" t="n"/>
      <c r="G37" s="17" t="n"/>
    </row>
    <row r="38">
      <c r="B38" s="39">
        <f>'Debt Inventory'!B5</f>
        <v/>
      </c>
      <c r="C38" s="21">
        <f>'Debt Inventory'!G5</f>
        <v/>
      </c>
      <c r="D38" s="18" t="n"/>
      <c r="E38" s="21">
        <f>D38-C38</f>
        <v/>
      </c>
      <c r="F38" s="20" t="n"/>
      <c r="G38" s="17" t="n"/>
    </row>
    <row r="39">
      <c r="B39" s="39">
        <f>'Debt Inventory'!B6</f>
        <v/>
      </c>
      <c r="C39" s="21">
        <f>'Debt Inventory'!G6</f>
        <v/>
      </c>
      <c r="D39" s="18" t="n"/>
      <c r="E39" s="21">
        <f>D39-C39</f>
        <v/>
      </c>
      <c r="F39" s="20" t="n"/>
      <c r="G39" s="17" t="n"/>
    </row>
    <row r="40">
      <c r="B40" s="39">
        <f>'Debt Inventory'!B7</f>
        <v/>
      </c>
      <c r="C40" s="21">
        <f>'Debt Inventory'!G7</f>
        <v/>
      </c>
      <c r="D40" s="18" t="n"/>
      <c r="E40" s="21">
        <f>D40-C40</f>
        <v/>
      </c>
      <c r="F40" s="20" t="n"/>
      <c r="G40" s="17" t="n"/>
    </row>
    <row r="41">
      <c r="B41" s="39">
        <f>'Debt Inventory'!B8</f>
        <v/>
      </c>
      <c r="C41" s="21">
        <f>'Debt Inventory'!G8</f>
        <v/>
      </c>
      <c r="D41" s="18" t="n"/>
      <c r="E41" s="21">
        <f>D41-C41</f>
        <v/>
      </c>
      <c r="F41" s="20" t="n"/>
      <c r="G41" s="17" t="n"/>
    </row>
    <row r="42">
      <c r="B42" s="4" t="inlineStr">
        <is>
          <t>TOTAL</t>
        </is>
      </c>
      <c r="C42" s="23">
        <f>SUM(C37:C41)</f>
        <v/>
      </c>
      <c r="D42" s="23">
        <f>SUM(D37:D41)</f>
        <v/>
      </c>
      <c r="E42" s="23">
        <f>D42-C42</f>
        <v/>
      </c>
    </row>
    <row r="45">
      <c r="B45" s="3" t="inlineStr">
        <is>
          <t>MAY</t>
        </is>
      </c>
    </row>
    <row r="46">
      <c r="B46" s="12" t="inlineStr">
        <is>
          <t>Debt Name</t>
        </is>
      </c>
      <c r="C46" s="12" t="inlineStr">
        <is>
          <t>Planned</t>
        </is>
      </c>
      <c r="D46" s="12" t="inlineStr">
        <is>
          <t>Actual</t>
        </is>
      </c>
      <c r="E46" s="12" t="inlineStr">
        <is>
          <t>Variance</t>
        </is>
      </c>
      <c r="F46" s="12" t="inlineStr">
        <is>
          <t>Date Paid</t>
        </is>
      </c>
      <c r="G46" s="12" t="inlineStr">
        <is>
          <t>Confirmation</t>
        </is>
      </c>
    </row>
    <row r="47">
      <c r="B47" s="39">
        <f>'Debt Inventory'!B4</f>
        <v/>
      </c>
      <c r="C47" s="21">
        <f>'Debt Inventory'!G4</f>
        <v/>
      </c>
      <c r="D47" s="18" t="n"/>
      <c r="E47" s="21">
        <f>D47-C47</f>
        <v/>
      </c>
      <c r="F47" s="20" t="n"/>
      <c r="G47" s="17" t="n"/>
    </row>
    <row r="48">
      <c r="B48" s="39">
        <f>'Debt Inventory'!B5</f>
        <v/>
      </c>
      <c r="C48" s="21">
        <f>'Debt Inventory'!G5</f>
        <v/>
      </c>
      <c r="D48" s="18" t="n"/>
      <c r="E48" s="21">
        <f>D48-C48</f>
        <v/>
      </c>
      <c r="F48" s="20" t="n"/>
      <c r="G48" s="17" t="n"/>
    </row>
    <row r="49">
      <c r="B49" s="39">
        <f>'Debt Inventory'!B6</f>
        <v/>
      </c>
      <c r="C49" s="21">
        <f>'Debt Inventory'!G6</f>
        <v/>
      </c>
      <c r="D49" s="18" t="n"/>
      <c r="E49" s="21">
        <f>D49-C49</f>
        <v/>
      </c>
      <c r="F49" s="20" t="n"/>
      <c r="G49" s="17" t="n"/>
    </row>
    <row r="50">
      <c r="B50" s="39">
        <f>'Debt Inventory'!B7</f>
        <v/>
      </c>
      <c r="C50" s="21">
        <f>'Debt Inventory'!G7</f>
        <v/>
      </c>
      <c r="D50" s="18" t="n"/>
      <c r="E50" s="21">
        <f>D50-C50</f>
        <v/>
      </c>
      <c r="F50" s="20" t="n"/>
      <c r="G50" s="17" t="n"/>
    </row>
    <row r="51">
      <c r="B51" s="39">
        <f>'Debt Inventory'!B8</f>
        <v/>
      </c>
      <c r="C51" s="21">
        <f>'Debt Inventory'!G8</f>
        <v/>
      </c>
      <c r="D51" s="18" t="n"/>
      <c r="E51" s="21">
        <f>D51-C51</f>
        <v/>
      </c>
      <c r="F51" s="20" t="n"/>
      <c r="G51" s="17" t="n"/>
    </row>
    <row r="52">
      <c r="B52" s="4" t="inlineStr">
        <is>
          <t>TOTAL</t>
        </is>
      </c>
      <c r="C52" s="23">
        <f>SUM(C47:C51)</f>
        <v/>
      </c>
      <c r="D52" s="23">
        <f>SUM(D47:D51)</f>
        <v/>
      </c>
      <c r="E52" s="23">
        <f>D52-C52</f>
        <v/>
      </c>
    </row>
    <row r="55">
      <c r="B55" s="3" t="inlineStr">
        <is>
          <t>JUNE</t>
        </is>
      </c>
    </row>
    <row r="56">
      <c r="B56" s="12" t="inlineStr">
        <is>
          <t>Debt Name</t>
        </is>
      </c>
      <c r="C56" s="12" t="inlineStr">
        <is>
          <t>Planned</t>
        </is>
      </c>
      <c r="D56" s="12" t="inlineStr">
        <is>
          <t>Actual</t>
        </is>
      </c>
      <c r="E56" s="12" t="inlineStr">
        <is>
          <t>Variance</t>
        </is>
      </c>
      <c r="F56" s="12" t="inlineStr">
        <is>
          <t>Date Paid</t>
        </is>
      </c>
      <c r="G56" s="12" t="inlineStr">
        <is>
          <t>Confirmation</t>
        </is>
      </c>
    </row>
    <row r="57">
      <c r="B57" s="39">
        <f>'Debt Inventory'!B4</f>
        <v/>
      </c>
      <c r="C57" s="21">
        <f>'Debt Inventory'!G4</f>
        <v/>
      </c>
      <c r="D57" s="18" t="n"/>
      <c r="E57" s="21">
        <f>D57-C57</f>
        <v/>
      </c>
      <c r="F57" s="20" t="n"/>
      <c r="G57" s="17" t="n"/>
    </row>
    <row r="58">
      <c r="B58" s="39">
        <f>'Debt Inventory'!B5</f>
        <v/>
      </c>
      <c r="C58" s="21">
        <f>'Debt Inventory'!G5</f>
        <v/>
      </c>
      <c r="D58" s="18" t="n"/>
      <c r="E58" s="21">
        <f>D58-C58</f>
        <v/>
      </c>
      <c r="F58" s="20" t="n"/>
      <c r="G58" s="17" t="n"/>
    </row>
    <row r="59">
      <c r="B59" s="39">
        <f>'Debt Inventory'!B6</f>
        <v/>
      </c>
      <c r="C59" s="21">
        <f>'Debt Inventory'!G6</f>
        <v/>
      </c>
      <c r="D59" s="18" t="n"/>
      <c r="E59" s="21">
        <f>D59-C59</f>
        <v/>
      </c>
      <c r="F59" s="20" t="n"/>
      <c r="G59" s="17" t="n"/>
    </row>
    <row r="60">
      <c r="B60" s="39">
        <f>'Debt Inventory'!B7</f>
        <v/>
      </c>
      <c r="C60" s="21">
        <f>'Debt Inventory'!G7</f>
        <v/>
      </c>
      <c r="D60" s="18" t="n"/>
      <c r="E60" s="21">
        <f>D60-C60</f>
        <v/>
      </c>
      <c r="F60" s="20" t="n"/>
      <c r="G60" s="17" t="n"/>
    </row>
    <row r="61">
      <c r="B61" s="39">
        <f>'Debt Inventory'!B8</f>
        <v/>
      </c>
      <c r="C61" s="21">
        <f>'Debt Inventory'!G8</f>
        <v/>
      </c>
      <c r="D61" s="18" t="n"/>
      <c r="E61" s="21">
        <f>D61-C61</f>
        <v/>
      </c>
      <c r="F61" s="20" t="n"/>
      <c r="G61" s="17" t="n"/>
    </row>
    <row r="62">
      <c r="B62" s="4" t="inlineStr">
        <is>
          <t>TOTAL</t>
        </is>
      </c>
      <c r="C62" s="23">
        <f>SUM(C57:C61)</f>
        <v/>
      </c>
      <c r="D62" s="23">
        <f>SUM(D57:D61)</f>
        <v/>
      </c>
      <c r="E62" s="23">
        <f>D62-C62</f>
        <v/>
      </c>
    </row>
  </sheetData>
  <mergeCells count="8">
    <mergeCell ref="J5:L5"/>
    <mergeCell ref="B1:H1"/>
    <mergeCell ref="B35:H35"/>
    <mergeCell ref="B55:H55"/>
    <mergeCell ref="B15:H15"/>
    <mergeCell ref="B25:H25"/>
    <mergeCell ref="B5:H5"/>
    <mergeCell ref="B45:H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35"/>
  <sheetViews>
    <sheetView workbookViewId="0">
      <selection activeCell="A1" sqref="A1"/>
    </sheetView>
  </sheetViews>
  <sheetFormatPr baseColWidth="8" defaultRowHeight="15"/>
  <cols>
    <col width="3" customWidth="1" min="1" max="1"/>
    <col width="25" customWidth="1" min="2" max="2"/>
    <col width="20" customWidth="1" min="3" max="3"/>
    <col width="20" customWidth="1" min="4" max="4"/>
    <col width="20" customWidth="1" min="5" max="5"/>
    <col width="20" customWidth="1" min="6" max="6"/>
    <col width="20" customWidth="1" min="7" max="7"/>
    <col width="3" customWidth="1" min="8" max="8"/>
  </cols>
  <sheetData>
    <row r="1">
      <c r="B1" s="16" t="inlineStr">
        <is>
          <t>EXTRA PAYMENT CALCULATOR</t>
        </is>
      </c>
    </row>
    <row r="3">
      <c r="B3" s="3" t="inlineStr">
        <is>
          <t>CURRENT SITUATION</t>
        </is>
      </c>
      <c r="E3" s="3" t="inlineStr">
        <is>
          <t>EXTRA PAYMENT SCENARIOS</t>
        </is>
      </c>
    </row>
    <row r="5">
      <c r="B5" t="inlineStr">
        <is>
          <t>Total Debt:</t>
        </is>
      </c>
      <c r="C5" s="9">
        <f>SUM('Debt Inventory'!E4:E28)</f>
        <v/>
      </c>
      <c r="E5" t="inlineStr">
        <is>
          <t>Enter Extra Amount:</t>
        </is>
      </c>
      <c r="F5" s="40" t="n">
        <v>100</v>
      </c>
    </row>
    <row r="6">
      <c r="B6" t="inlineStr">
        <is>
          <t>Monthly Minimum:</t>
        </is>
      </c>
      <c r="C6" s="9">
        <f>SUM('Debt Inventory'!G4:G28)</f>
        <v/>
      </c>
    </row>
    <row r="7">
      <c r="B7" t="inlineStr">
        <is>
          <t>Avg Interest Rate:</t>
        </is>
      </c>
      <c r="C7" s="10">
        <f>AVERAGEIF('Debt Inventory'!F4:F28,"&gt;0")</f>
        <v/>
      </c>
    </row>
    <row r="8">
      <c r="B8" t="inlineStr">
        <is>
          <t>Months to Payoff:</t>
        </is>
      </c>
      <c r="C8" s="11">
        <f>MAX('Debt Inventory'!K4:K28)</f>
        <v/>
      </c>
    </row>
    <row r="9">
      <c r="B9" t="inlineStr">
        <is>
          <t>Total Interest (Min Only):</t>
        </is>
      </c>
      <c r="C9" s="9">
        <f>SUM('Debt Inventory'!L4:L28)</f>
        <v/>
      </c>
    </row>
    <row r="12">
      <c r="B12" s="3" t="inlineStr">
        <is>
          <t>SCENARIO COMPARISON</t>
        </is>
      </c>
      <c r="C12" s="37" t="n"/>
      <c r="D12" s="37" t="n"/>
      <c r="E12" s="37" t="n"/>
      <c r="F12" s="37" t="n"/>
      <c r="G12" s="38" t="n"/>
    </row>
    <row r="13">
      <c r="B13" s="12" t="inlineStr">
        <is>
          <t>Scenario</t>
        </is>
      </c>
      <c r="C13" s="12" t="inlineStr">
        <is>
          <t>Extra/Month</t>
        </is>
      </c>
      <c r="D13" s="12" t="inlineStr">
        <is>
          <t>New Total Payment</t>
        </is>
      </c>
      <c r="E13" s="12" t="inlineStr">
        <is>
          <t>Months to Payoff</t>
        </is>
      </c>
      <c r="F13" s="12" t="inlineStr">
        <is>
          <t>Interest Paid</t>
        </is>
      </c>
      <c r="G13" s="12" t="inlineStr">
        <is>
          <t>You Save</t>
        </is>
      </c>
    </row>
    <row r="14">
      <c r="B14" s="29" t="inlineStr">
        <is>
          <t>Minimum Only</t>
        </is>
      </c>
      <c r="C14" s="21" t="inlineStr">
        <is>
          <t>0</t>
        </is>
      </c>
      <c r="D14" s="21">
        <f>C6</f>
        <v/>
      </c>
      <c r="E14" s="27">
        <f>C8</f>
        <v/>
      </c>
      <c r="F14" s="21">
        <f>C9</f>
        <v/>
      </c>
      <c r="G14" s="41" t="inlineStr">
        <is>
          <t>$0</t>
        </is>
      </c>
    </row>
    <row r="15">
      <c r="B15" s="29" t="inlineStr">
        <is>
          <t>Your Amount</t>
        </is>
      </c>
      <c r="C15" s="21">
        <f>F5</f>
        <v/>
      </c>
      <c r="D15" s="21">
        <f>C6+F5</f>
        <v/>
      </c>
      <c r="E15" s="27">
        <f>ROUND(C8*(C6/(C6+F5)),0)</f>
        <v/>
      </c>
      <c r="F15" s="21">
        <f>ROUND(C9*(C6/(C6+F5)),0)</f>
        <v/>
      </c>
      <c r="G15" s="41">
        <f>C9-F17</f>
        <v/>
      </c>
    </row>
    <row r="16">
      <c r="B16" s="29" t="inlineStr">
        <is>
          <t>+$50/month</t>
        </is>
      </c>
      <c r="C16" s="21" t="inlineStr">
        <is>
          <t>50</t>
        </is>
      </c>
      <c r="D16" s="21">
        <f>C6+50</f>
        <v/>
      </c>
      <c r="E16" s="27">
        <f>ROUND(C8*(C6/(C6+50)),0)</f>
        <v/>
      </c>
      <c r="F16" s="21">
        <f>ROUND(C9*(C6/(C6+50)),0)</f>
        <v/>
      </c>
      <c r="G16" s="41">
        <f>C9-F18</f>
        <v/>
      </c>
    </row>
    <row r="17">
      <c r="B17" s="29" t="inlineStr">
        <is>
          <t>+$100/month</t>
        </is>
      </c>
      <c r="C17" s="21" t="inlineStr">
        <is>
          <t>100</t>
        </is>
      </c>
      <c r="D17" s="21">
        <f>C6+100</f>
        <v/>
      </c>
      <c r="E17" s="27">
        <f>ROUND(C8*(C6/(C6+100)),0)</f>
        <v/>
      </c>
      <c r="F17" s="21">
        <f>ROUND(C9*(C6/(C6+100)),0)</f>
        <v/>
      </c>
      <c r="G17" s="41">
        <f>C9-F19</f>
        <v/>
      </c>
    </row>
    <row r="18">
      <c r="B18" s="29" t="inlineStr">
        <is>
          <t>+$250/month</t>
        </is>
      </c>
      <c r="C18" s="21" t="inlineStr">
        <is>
          <t>250</t>
        </is>
      </c>
      <c r="D18" s="21">
        <f>C6+250</f>
        <v/>
      </c>
      <c r="E18" s="27">
        <f>ROUND(C8*(C6/(C6+250)),0)</f>
        <v/>
      </c>
      <c r="F18" s="21">
        <f>ROUND(C9*(C6/(C6+250)),0)</f>
        <v/>
      </c>
      <c r="G18" s="41">
        <f>C9-F20</f>
        <v/>
      </c>
    </row>
    <row r="19">
      <c r="B19" s="29" t="inlineStr">
        <is>
          <t>+$500/month</t>
        </is>
      </c>
      <c r="C19" s="21" t="inlineStr">
        <is>
          <t>500</t>
        </is>
      </c>
      <c r="D19" s="21">
        <f>C6+500</f>
        <v/>
      </c>
      <c r="E19" s="27">
        <f>ROUND(C8*(C6/(C6+500)),0)</f>
        <v/>
      </c>
      <c r="F19" s="21">
        <f>ROUND(C9*(C6/(C6+500)),0)</f>
        <v/>
      </c>
      <c r="G19" s="41">
        <f>C9-F21</f>
        <v/>
      </c>
    </row>
    <row r="23">
      <c r="B23" s="3" t="inlineStr">
        <is>
          <t>LUMP SUM PAYMENT CALCULATOR</t>
        </is>
      </c>
    </row>
    <row r="25">
      <c r="B25" t="inlineStr">
        <is>
          <t>One-Time Payment Amount:</t>
        </is>
      </c>
      <c r="C25" s="42" t="n">
        <v>1000</v>
      </c>
    </row>
    <row r="26">
      <c r="B26" t="inlineStr">
        <is>
          <t>Apply to Debt:</t>
        </is>
      </c>
      <c r="C26" s="43" t="inlineStr">
        <is>
          <t>Highest Interest</t>
        </is>
      </c>
    </row>
    <row r="28">
      <c r="B28" t="inlineStr">
        <is>
          <t>New Total Balance:</t>
        </is>
      </c>
      <c r="C28" s="9">
        <f>C5-C25</f>
        <v/>
      </c>
    </row>
    <row r="29">
      <c r="B29" t="inlineStr">
        <is>
          <t>Balance Reduction:</t>
        </is>
      </c>
      <c r="C29" s="14">
        <f>C25/C5</f>
        <v/>
      </c>
    </row>
    <row r="32">
      <c r="B32" s="15" t="inlineStr">
        <is>
          <t>TIPS FOR FINDING EXTRA MONEY:
• Tax refunds • Work bonuses • Selling unused items • Side gig income
• Reducing subscriptions • Cash back rewards • Birthday/holiday money
• Overtime pay • Reducing dining out • Canceling unused memberships</t>
        </is>
      </c>
    </row>
    <row r="33"/>
    <row r="34"/>
    <row r="35"/>
  </sheetData>
  <mergeCells count="6">
    <mergeCell ref="B3:D3"/>
    <mergeCell ref="B32:G35"/>
    <mergeCell ref="B23:G23"/>
    <mergeCell ref="B1:G1"/>
    <mergeCell ref="B12:G12"/>
    <mergeCell ref="E3:G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G36"/>
  <sheetViews>
    <sheetView workbookViewId="0">
      <selection activeCell="A1" sqref="A1"/>
    </sheetView>
  </sheetViews>
  <sheetFormatPr baseColWidth="8" defaultRowHeight="15"/>
  <cols>
    <col width="3" customWidth="1" min="1" max="1"/>
    <col width="30" customWidth="1" min="2" max="2"/>
    <col width="20" customWidth="1" min="3" max="3"/>
    <col width="20" customWidth="1" min="4" max="4"/>
    <col width="20" customWidth="1" min="5" max="5"/>
    <col width="25" customWidth="1" min="6" max="6"/>
    <col width="25" customWidth="1" min="7" max="7"/>
    <col width="3" customWidth="1" min="8" max="8"/>
  </cols>
  <sheetData>
    <row r="1">
      <c r="B1" s="16" t="inlineStr">
        <is>
          <t>PROGRESS &amp; MILESTONES</t>
        </is>
      </c>
    </row>
    <row r="3">
      <c r="B3" s="3" t="inlineStr">
        <is>
          <t>OVERALL PROGRESS</t>
        </is>
      </c>
      <c r="F3" s="3" t="inlineStr">
        <is>
          <t>MILESTONES</t>
        </is>
      </c>
    </row>
    <row r="5">
      <c r="B5" t="inlineStr">
        <is>
          <t>Starting Total Debt:</t>
        </is>
      </c>
      <c r="C5" s="9">
        <f>SUM('Debt Inventory'!D4:D28)</f>
        <v/>
      </c>
      <c r="F5" s="44">
        <f>IF(C7&gt;=1000,"✓","○")</f>
        <v/>
      </c>
      <c r="G5" s="45" t="inlineStr">
        <is>
          <t>First $1,000 Paid Off</t>
        </is>
      </c>
    </row>
    <row r="6">
      <c r="B6" t="inlineStr">
        <is>
          <t>Current Total Debt:</t>
        </is>
      </c>
      <c r="C6" s="9">
        <f>SUM('Debt Inventory'!E4:E28)</f>
        <v/>
      </c>
      <c r="F6" s="44">
        <f>IF(C9&gt;=0.25,"✓","○")</f>
        <v/>
      </c>
      <c r="G6" s="45" t="inlineStr">
        <is>
          <t>25% Complete</t>
        </is>
      </c>
    </row>
    <row r="7">
      <c r="B7" t="inlineStr">
        <is>
          <t>Total Paid Off:</t>
        </is>
      </c>
      <c r="C7" s="46">
        <f>C5-C6</f>
        <v/>
      </c>
      <c r="F7" s="44">
        <f>IF(COUNTIF('Debt Inventory'!E4:E28,0)&gt;0,"✓","○")</f>
        <v/>
      </c>
      <c r="G7" s="45" t="inlineStr">
        <is>
          <t>First Debt Eliminated</t>
        </is>
      </c>
    </row>
    <row r="8">
      <c r="F8" s="44">
        <f>IF(C9&gt;=0.5,"✓","○")</f>
        <v/>
      </c>
      <c r="G8" s="45" t="inlineStr">
        <is>
          <t>50% Complete (Halfway!)</t>
        </is>
      </c>
    </row>
    <row r="9">
      <c r="B9" t="inlineStr">
        <is>
          <t>PROGRESS:</t>
        </is>
      </c>
      <c r="C9" s="47">
        <f>IF(C5&gt;0,C7/C5,0)</f>
        <v/>
      </c>
      <c r="F9" s="44">
        <f>IF(COUNTIF('Debt Inventory'!E4:E28,0)&gt;1,"✓","○")</f>
        <v/>
      </c>
      <c r="G9" s="45" t="inlineStr">
        <is>
          <t>Second Debt Eliminated</t>
        </is>
      </c>
    </row>
    <row r="10">
      <c r="B10" s="48" t="inlineStr">
        <is>
          <t>████████████████████</t>
        </is>
      </c>
      <c r="F10" s="44">
        <f>IF(C9&gt;=0.75,"✓","○")</f>
        <v/>
      </c>
      <c r="G10" s="45" t="inlineStr">
        <is>
          <t>75% Complete</t>
        </is>
      </c>
    </row>
    <row r="11">
      <c r="F11" s="44">
        <f>IF(C6&lt;10000,"✓","○")</f>
        <v/>
      </c>
      <c r="G11" s="45" t="inlineStr">
        <is>
          <t>Under $10,000 Remaining</t>
        </is>
      </c>
    </row>
    <row r="12">
      <c r="F12" s="44">
        <f>IF(C6&lt;5000,"✓","○")</f>
        <v/>
      </c>
      <c r="G12" s="45" t="inlineStr">
        <is>
          <t>Under $5,000 Remaining</t>
        </is>
      </c>
    </row>
    <row r="13">
      <c r="F13" s="44">
        <f>IF(C6&lt;1000,"✓","○")</f>
        <v/>
      </c>
      <c r="G13" s="45" t="inlineStr">
        <is>
          <t>Under $1,000 Remaining</t>
        </is>
      </c>
    </row>
    <row r="14">
      <c r="F14" s="44">
        <f>IF(C6&lt;=0,"✓","○")</f>
        <v/>
      </c>
      <c r="G14" s="45" t="inlineStr">
        <is>
          <t>DEBT FREE!</t>
        </is>
      </c>
    </row>
    <row r="17">
      <c r="B17" s="3" t="inlineStr">
        <is>
          <t>DEBTS PAID OFF</t>
        </is>
      </c>
      <c r="F17" s="3" t="inlineStr">
        <is>
          <t>MY 'WHY'</t>
        </is>
      </c>
    </row>
    <row r="18">
      <c r="B18" s="12" t="inlineStr">
        <is>
          <t>Debt Name</t>
        </is>
      </c>
      <c r="C18" s="12" t="inlineStr">
        <is>
          <t>Original Amount</t>
        </is>
      </c>
      <c r="D18" s="12" t="inlineStr">
        <is>
          <t>Date Paid Off</t>
        </is>
      </c>
      <c r="F18" s="49" t="inlineStr">
        <is>
          <t>Write your motivation here...</t>
        </is>
      </c>
    </row>
    <row r="19">
      <c r="B19" s="17" t="n"/>
      <c r="C19" s="18" t="n"/>
      <c r="D19" s="20" t="n"/>
    </row>
    <row r="20">
      <c r="B20" s="17" t="n"/>
      <c r="C20" s="18" t="n"/>
      <c r="D20" s="20" t="n"/>
    </row>
    <row r="21">
      <c r="B21" s="17" t="n"/>
      <c r="C21" s="18" t="n"/>
      <c r="D21" s="20" t="n"/>
    </row>
    <row r="22">
      <c r="B22" s="17" t="n"/>
      <c r="C22" s="18" t="n"/>
      <c r="D22" s="20" t="n"/>
    </row>
    <row r="23">
      <c r="B23" s="17" t="n"/>
      <c r="C23" s="18" t="n"/>
      <c r="D23" s="20" t="n"/>
    </row>
    <row r="24">
      <c r="B24" s="17" t="n"/>
      <c r="C24" s="18" t="n"/>
      <c r="D24" s="20" t="n"/>
    </row>
    <row r="25">
      <c r="B25" s="17" t="n"/>
      <c r="C25" s="18" t="n"/>
      <c r="D25" s="20" t="n"/>
    </row>
    <row r="26">
      <c r="B26" s="17" t="n"/>
      <c r="C26" s="18" t="n"/>
      <c r="D26" s="20" t="n"/>
    </row>
    <row r="27">
      <c r="B27" s="17" t="n"/>
      <c r="C27" s="18" t="n"/>
      <c r="D27" s="20" t="n"/>
    </row>
    <row r="28">
      <c r="B28" s="17" t="n"/>
      <c r="C28" s="18" t="n"/>
      <c r="D28" s="20" t="n"/>
    </row>
    <row r="31">
      <c r="B31" s="3" t="inlineStr">
        <is>
          <t>CELEBRATION PLANNING</t>
        </is>
      </c>
    </row>
    <row r="33">
      <c r="B33" s="4" t="inlineStr">
        <is>
          <t>When I hit 25%, I will:</t>
        </is>
      </c>
      <c r="C33" s="43" t="n"/>
    </row>
    <row r="34">
      <c r="B34" s="4" t="inlineStr">
        <is>
          <t>When I hit 50%, I will:</t>
        </is>
      </c>
      <c r="C34" s="43" t="n"/>
    </row>
    <row r="35">
      <c r="B35" s="4" t="inlineStr">
        <is>
          <t>When I hit 75%, I will:</t>
        </is>
      </c>
      <c r="C35" s="43" t="n"/>
    </row>
    <row r="36">
      <c r="B36" s="4" t="inlineStr">
        <is>
          <t>When I'm DEBT FREE, I will:</t>
        </is>
      </c>
      <c r="C36" s="43" t="n"/>
    </row>
  </sheetData>
  <mergeCells count="12">
    <mergeCell ref="B10:D10"/>
    <mergeCell ref="F3:G3"/>
    <mergeCell ref="C35:G35"/>
    <mergeCell ref="B3:D3"/>
    <mergeCell ref="C34:G34"/>
    <mergeCell ref="B31:G31"/>
    <mergeCell ref="C33:G33"/>
    <mergeCell ref="B1:G1"/>
    <mergeCell ref="B17:D17"/>
    <mergeCell ref="F18:G22"/>
    <mergeCell ref="C36:G36"/>
    <mergeCell ref="F17:G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H38"/>
  <sheetViews>
    <sheetView workbookViewId="0">
      <selection activeCell="A1" sqref="A1"/>
    </sheetView>
  </sheetViews>
  <sheetFormatPr baseColWidth="8" defaultRowHeight="15"/>
  <cols>
    <col width="3" customWidth="1" min="1" max="1"/>
    <col width="25" customWidth="1" min="2" max="2"/>
    <col width="18" customWidth="1" min="3" max="3"/>
    <col width="18" customWidth="1" min="4" max="4"/>
    <col width="18" customWidth="1" min="5" max="5"/>
    <col width="18" customWidth="1" min="6" max="6"/>
    <col width="18" customWidth="1" min="7" max="7"/>
    <col width="18" customWidth="1" min="8" max="8"/>
  </cols>
  <sheetData>
    <row r="1">
      <c r="B1" s="16" t="inlineStr">
        <is>
          <t>ANNUAL SUMMARY</t>
        </is>
      </c>
    </row>
    <row r="3">
      <c r="B3" t="inlineStr">
        <is>
          <t>Year:</t>
        </is>
      </c>
      <c r="C3" s="36" t="n">
        <v>2025</v>
      </c>
    </row>
    <row r="5">
      <c r="B5" s="3" t="inlineStr">
        <is>
          <t>ANNUAL METRICS</t>
        </is>
      </c>
      <c r="F5" s="3" t="inlineStr">
        <is>
          <t>YEAR-OVER-YEAR</t>
        </is>
      </c>
    </row>
    <row r="6">
      <c r="F6" s="12" t="inlineStr">
        <is>
          <t>Metric</t>
        </is>
      </c>
      <c r="G6" s="12" t="inlineStr">
        <is>
          <t>Last Year</t>
        </is>
      </c>
      <c r="H6" s="12" t="inlineStr">
        <is>
          <t>This Year</t>
        </is>
      </c>
    </row>
    <row r="7">
      <c r="B7" s="4" t="inlineStr">
        <is>
          <t>Balance at Start of Year:</t>
        </is>
      </c>
      <c r="C7" s="18" t="n"/>
      <c r="F7" t="inlineStr">
        <is>
          <t>Starting Balance</t>
        </is>
      </c>
      <c r="G7" s="50" t="n"/>
      <c r="H7" s="42" t="n"/>
    </row>
    <row r="8">
      <c r="B8" s="4" t="inlineStr">
        <is>
          <t>Balance at End of Year:</t>
        </is>
      </c>
      <c r="C8" s="18" t="n"/>
      <c r="F8" t="inlineStr">
        <is>
          <t>Ending Balance</t>
        </is>
      </c>
      <c r="G8" s="50" t="n"/>
      <c r="H8" s="42" t="n"/>
    </row>
    <row r="9">
      <c r="B9" s="4" t="inlineStr">
        <is>
          <t>Total Paid This Year:</t>
        </is>
      </c>
      <c r="C9" s="18" t="n"/>
      <c r="F9" t="inlineStr">
        <is>
          <t>Total Paid</t>
        </is>
      </c>
      <c r="G9" s="50" t="n"/>
      <c r="H9" s="42" t="n"/>
    </row>
    <row r="10">
      <c r="B10" s="4" t="inlineStr">
        <is>
          <t>Interest Paid This Year:</t>
        </is>
      </c>
      <c r="C10" s="18" t="n"/>
      <c r="F10" t="inlineStr">
        <is>
          <t>Interest Paid</t>
        </is>
      </c>
      <c r="G10" s="50" t="n"/>
      <c r="H10" s="42" t="n"/>
    </row>
    <row r="11">
      <c r="B11" s="4" t="inlineStr">
        <is>
          <t>Principal Paid This Year:</t>
        </is>
      </c>
      <c r="C11" s="18" t="n"/>
      <c r="F11" t="inlineStr">
        <is>
          <t>Debts Eliminated</t>
        </is>
      </c>
      <c r="G11" s="50" t="n"/>
      <c r="H11" s="42" t="n"/>
    </row>
    <row r="12">
      <c r="B12" s="4" t="inlineStr">
        <is>
          <t>Debts Eliminated This Year:</t>
        </is>
      </c>
      <c r="C12" s="51" t="n"/>
    </row>
    <row r="13">
      <c r="B13" s="4" t="inlineStr">
        <is>
          <t>Average Monthly Payment:</t>
        </is>
      </c>
      <c r="C13" s="18" t="n"/>
    </row>
    <row r="16">
      <c r="B16" s="3" t="inlineStr">
        <is>
          <t>MONTHLY BREAKDOWN</t>
        </is>
      </c>
    </row>
    <row r="17">
      <c r="B17" s="12" t="inlineStr">
        <is>
          <t>Month</t>
        </is>
      </c>
      <c r="C17" s="12" t="inlineStr">
        <is>
          <t>Starting Bal.</t>
        </is>
      </c>
      <c r="D17" s="12" t="inlineStr">
        <is>
          <t>Payments</t>
        </is>
      </c>
      <c r="E17" s="12" t="inlineStr">
        <is>
          <t>Interest</t>
        </is>
      </c>
      <c r="F17" s="12" t="inlineStr">
        <is>
          <t>Principal</t>
        </is>
      </c>
      <c r="G17" s="12" t="inlineStr">
        <is>
          <t>Ending Bal.</t>
        </is>
      </c>
    </row>
    <row r="18">
      <c r="B18" t="inlineStr">
        <is>
          <t>January</t>
        </is>
      </c>
      <c r="C18" s="18" t="n"/>
      <c r="D18" s="18" t="n"/>
      <c r="E18" s="18" t="n"/>
      <c r="F18" s="18" t="n"/>
      <c r="G18" s="18" t="n"/>
    </row>
    <row r="19">
      <c r="B19" t="inlineStr">
        <is>
          <t>February</t>
        </is>
      </c>
      <c r="C19" s="18" t="n"/>
      <c r="D19" s="18" t="n"/>
      <c r="E19" s="18" t="n"/>
      <c r="F19" s="18" t="n"/>
      <c r="G19" s="18" t="n"/>
    </row>
    <row r="20">
      <c r="B20" t="inlineStr">
        <is>
          <t>March</t>
        </is>
      </c>
      <c r="C20" s="18" t="n"/>
      <c r="D20" s="18" t="n"/>
      <c r="E20" s="18" t="n"/>
      <c r="F20" s="18" t="n"/>
      <c r="G20" s="18" t="n"/>
    </row>
    <row r="21">
      <c r="B21" t="inlineStr">
        <is>
          <t>April</t>
        </is>
      </c>
      <c r="C21" s="18" t="n"/>
      <c r="D21" s="18" t="n"/>
      <c r="E21" s="18" t="n"/>
      <c r="F21" s="18" t="n"/>
      <c r="G21" s="18" t="n"/>
    </row>
    <row r="22">
      <c r="B22" t="inlineStr">
        <is>
          <t>May</t>
        </is>
      </c>
      <c r="C22" s="18" t="n"/>
      <c r="D22" s="18" t="n"/>
      <c r="E22" s="18" t="n"/>
      <c r="F22" s="18" t="n"/>
      <c r="G22" s="18" t="n"/>
    </row>
    <row r="23">
      <c r="B23" t="inlineStr">
        <is>
          <t>June</t>
        </is>
      </c>
      <c r="C23" s="18" t="n"/>
      <c r="D23" s="18" t="n"/>
      <c r="E23" s="18" t="n"/>
      <c r="F23" s="18" t="n"/>
      <c r="G23" s="18" t="n"/>
    </row>
    <row r="24">
      <c r="B24" t="inlineStr">
        <is>
          <t>July</t>
        </is>
      </c>
      <c r="C24" s="18" t="n"/>
      <c r="D24" s="18" t="n"/>
      <c r="E24" s="18" t="n"/>
      <c r="F24" s="18" t="n"/>
      <c r="G24" s="18" t="n"/>
    </row>
    <row r="25">
      <c r="B25" t="inlineStr">
        <is>
          <t>August</t>
        </is>
      </c>
      <c r="C25" s="18" t="n"/>
      <c r="D25" s="18" t="n"/>
      <c r="E25" s="18" t="n"/>
      <c r="F25" s="18" t="n"/>
      <c r="G25" s="18" t="n"/>
    </row>
    <row r="26">
      <c r="B26" t="inlineStr">
        <is>
          <t>September</t>
        </is>
      </c>
      <c r="C26" s="18" t="n"/>
      <c r="D26" s="18" t="n"/>
      <c r="E26" s="18" t="n"/>
      <c r="F26" s="18" t="n"/>
      <c r="G26" s="18" t="n"/>
    </row>
    <row r="27">
      <c r="B27" t="inlineStr">
        <is>
          <t>October</t>
        </is>
      </c>
      <c r="C27" s="18" t="n"/>
      <c r="D27" s="18" t="n"/>
      <c r="E27" s="18" t="n"/>
      <c r="F27" s="18" t="n"/>
      <c r="G27" s="18" t="n"/>
    </row>
    <row r="28">
      <c r="B28" t="inlineStr">
        <is>
          <t>November</t>
        </is>
      </c>
      <c r="C28" s="18" t="n"/>
      <c r="D28" s="18" t="n"/>
      <c r="E28" s="18" t="n"/>
      <c r="F28" s="18" t="n"/>
      <c r="G28" s="18" t="n"/>
    </row>
    <row r="29">
      <c r="B29" t="inlineStr">
        <is>
          <t>December</t>
        </is>
      </c>
      <c r="C29" s="18" t="n"/>
      <c r="D29" s="18" t="n"/>
      <c r="E29" s="18" t="n"/>
      <c r="F29" s="18" t="n"/>
      <c r="G29" s="18" t="n"/>
    </row>
    <row r="30">
      <c r="B30" s="4" t="inlineStr">
        <is>
          <t>TOTALS</t>
        </is>
      </c>
      <c r="C30" s="23">
        <f>SUM(C18:C29)</f>
        <v/>
      </c>
      <c r="D30" s="23">
        <f>SUM(D18:D29)</f>
        <v/>
      </c>
      <c r="E30" s="23">
        <f>SUM(E18:E29)</f>
        <v/>
      </c>
      <c r="F30" s="23">
        <f>SUM(F18:F29)</f>
        <v/>
      </c>
      <c r="G30" s="23">
        <f>SUM(G18:G29)</f>
        <v/>
      </c>
    </row>
    <row r="33">
      <c r="B33" s="3" t="inlineStr">
        <is>
          <t>NOTES &amp; REFLECTIONS</t>
        </is>
      </c>
    </row>
    <row r="34">
      <c r="B34" s="52" t="inlineStr">
        <is>
          <t>Add your notes about this year's progress...</t>
        </is>
      </c>
    </row>
    <row r="35"/>
    <row r="36"/>
    <row r="37"/>
    <row r="38"/>
  </sheetData>
  <mergeCells count="6">
    <mergeCell ref="B5:D5"/>
    <mergeCell ref="F5:H5"/>
    <mergeCell ref="B1:H1"/>
    <mergeCell ref="B16:H16"/>
    <mergeCell ref="B33:H33"/>
    <mergeCell ref="B34:H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2025-12-28T07:39:04Z</dcterms:created>
  <dcterms:modified xsi:type="dcterms:W3CDTF">2025-12-28T07:39:04Z</dcterms:modified>
</cp:coreProperties>
</file>